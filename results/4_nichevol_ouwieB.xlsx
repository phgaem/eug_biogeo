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phgaem/Documents/Projetos/3_PhD/1_Project/Eugenia Biogeography/results/"/>
    </mc:Choice>
  </mc:AlternateContent>
  <xr:revisionPtr revIDLastSave="0" documentId="13_ncr:1_{701DD4E3-7533-C64E-A617-9F94D38516FE}" xr6:coauthVersionLast="47" xr6:coauthVersionMax="47" xr10:uidLastSave="{00000000-0000-0000-0000-000000000000}"/>
  <bookViews>
    <workbookView xWindow="-4180" yWindow="-20980" windowWidth="38400" windowHeight="20980" xr2:uid="{00000000-000D-0000-FFFF-FFFF00000000}"/>
  </bookViews>
  <sheets>
    <sheet name="Sheet 1" sheetId="1" r:id="rId1"/>
    <sheet name="Sheet1" sheetId="2" r:id="rId2"/>
  </sheets>
  <definedNames>
    <definedName name="_xlnm._FilterDatabase" localSheetId="0" hidden="1">'Sheet 1'!$A$1:$I$37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2" i="2"/>
  <c r="C37" i="2"/>
  <c r="C36" i="2"/>
  <c r="C35" i="2"/>
  <c r="D35" i="2"/>
  <c r="D36" i="2"/>
  <c r="D37" i="2"/>
  <c r="E37" i="2"/>
  <c r="E36" i="2"/>
  <c r="E35" i="2"/>
  <c r="E34" i="2"/>
  <c r="D34" i="2"/>
  <c r="C34" i="2"/>
  <c r="E23" i="2"/>
  <c r="D23" i="2"/>
  <c r="C24" i="2"/>
  <c r="C25" i="2"/>
  <c r="D25" i="2"/>
  <c r="D24" i="2"/>
  <c r="E24" i="2"/>
  <c r="E25" i="2"/>
  <c r="C3" i="2"/>
  <c r="D3" i="2"/>
  <c r="E3" i="2"/>
  <c r="F3" i="2"/>
  <c r="C4" i="2"/>
  <c r="D4" i="2"/>
  <c r="E4" i="2"/>
  <c r="F4" i="2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F23" i="2"/>
  <c r="F24" i="2"/>
  <c r="F25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C32" i="2"/>
  <c r="D32" i="2"/>
  <c r="E32" i="2"/>
  <c r="F32" i="2"/>
  <c r="C33" i="2"/>
  <c r="D33" i="2"/>
  <c r="E33" i="2"/>
  <c r="F33" i="2"/>
  <c r="F34" i="2"/>
  <c r="F35" i="2"/>
  <c r="F36" i="2"/>
  <c r="F37" i="2"/>
  <c r="D2" i="2"/>
  <c r="E2" i="2"/>
  <c r="F2" i="2"/>
  <c r="C2" i="2"/>
</calcChain>
</file>

<file path=xl/sharedStrings.xml><?xml version="1.0" encoding="utf-8"?>
<sst xmlns="http://schemas.openxmlformats.org/spreadsheetml/2006/main" count="92" uniqueCount="63">
  <si>
    <t>clade</t>
  </si>
  <si>
    <t>sig.sq</t>
  </si>
  <si>
    <t>sig.sq.LB</t>
  </si>
  <si>
    <t>sig.sq.UB</t>
  </si>
  <si>
    <t>lnL</t>
  </si>
  <si>
    <t>AIC</t>
  </si>
  <si>
    <t>AICc</t>
  </si>
  <si>
    <t>PC1_Myrcianthes</t>
  </si>
  <si>
    <t>PC1_Pseudeugenia</t>
  </si>
  <si>
    <t>PC1_Phyllocalyx</t>
  </si>
  <si>
    <t>PC1_Excelsae</t>
  </si>
  <si>
    <t>PC1_Umbellatae</t>
  </si>
  <si>
    <t>PC1_Hexachlamys</t>
  </si>
  <si>
    <t>PC1_Speciosae</t>
  </si>
  <si>
    <t>PC1_Eugenia</t>
  </si>
  <si>
    <t>PC1_Racemosae</t>
  </si>
  <si>
    <t>PC1_Jossinia</t>
  </si>
  <si>
    <t>PC1_Pilothecium</t>
  </si>
  <si>
    <t>PC1_Schizocalomyrtus</t>
  </si>
  <si>
    <t>PC2_Umbellatae</t>
  </si>
  <si>
    <t>PC2_Racemosae</t>
  </si>
  <si>
    <t>PC2_Pilothecium</t>
  </si>
  <si>
    <t>PC2_Myrcianthes</t>
  </si>
  <si>
    <t>PC2_Pseudeugenia</t>
  </si>
  <si>
    <t>PC2_Excelsae</t>
  </si>
  <si>
    <t>PC2_Phyllocalyx</t>
  </si>
  <si>
    <t>PC2_Jossinia</t>
  </si>
  <si>
    <t>PC2_Speciosae</t>
  </si>
  <si>
    <t>PC2_Schizocalomyrtus</t>
  </si>
  <si>
    <t>PC2_Eugenia</t>
  </si>
  <si>
    <t>PC2_Hexachlamys</t>
  </si>
  <si>
    <t>PC3_Myrcianthes</t>
  </si>
  <si>
    <t>PC3_Pseudeugenia</t>
  </si>
  <si>
    <t>PC3_Racemosae</t>
  </si>
  <si>
    <t>PC3_Jossinia</t>
  </si>
  <si>
    <t>PC3_Umbellatae</t>
  </si>
  <si>
    <t>PC3_Excelsae</t>
  </si>
  <si>
    <t>PC3_Pilothecium</t>
  </si>
  <si>
    <t>PC3_Hexachlamys</t>
  </si>
  <si>
    <t>PC3_Schizocalomyrtus</t>
  </si>
  <si>
    <t>PC3_Eugenia</t>
  </si>
  <si>
    <t>PC3_Speciosae</t>
  </si>
  <si>
    <t>PC3_Phyllocalyx</t>
  </si>
  <si>
    <t>n.shifts</t>
  </si>
  <si>
    <t>n.shf.new</t>
  </si>
  <si>
    <t>PC1</t>
  </si>
  <si>
    <t>PC2</t>
  </si>
  <si>
    <t>PC3</t>
  </si>
  <si>
    <t>Myrcianthes</t>
  </si>
  <si>
    <t>Pseudeugenia</t>
  </si>
  <si>
    <t>Pilothecium</t>
  </si>
  <si>
    <t>Racemosae</t>
  </si>
  <si>
    <t>Umbellatae</t>
  </si>
  <si>
    <t>Schizocalomyrtus</t>
  </si>
  <si>
    <t>Jossinia</t>
  </si>
  <si>
    <t>Eugenia</t>
  </si>
  <si>
    <t>Speciosae</t>
  </si>
  <si>
    <t>Hexachlamys</t>
  </si>
  <si>
    <t>Excelsae</t>
  </si>
  <si>
    <t>Phyllocalyx</t>
  </si>
  <si>
    <t>Clade</t>
  </si>
  <si>
    <t>CED</t>
  </si>
  <si>
    <t>LnL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</si>
</sst>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E+00"/>
  </numFmts>
  <fonts count="3" x14ac:knownFonts="1">
    <font>
      <sz val="11"/>
      <color rgb="FF000000"/>
      <name val="Calibri"/>
      <family val="2"/>
      <scheme val="minor"/>
    </font>
    <font>
      <sz val="11"/>
      <color theme="1"/>
      <name val="Source Sans Pro Regula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="142" workbookViewId="0">
      <selection activeCell="A2" sqref="A2:A37"/>
    </sheetView>
  </sheetViews>
  <sheetFormatPr baseColWidth="10" defaultRowHeight="15" x14ac:dyDescent="0.2"/>
  <cols>
    <col min="1" max="1" width="18.5" bestFit="1" customWidth="1"/>
    <col min="8" max="8" width="6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</v>
      </c>
      <c r="I1" t="s">
        <v>44</v>
      </c>
    </row>
    <row r="2" spans="1:9" x14ac:dyDescent="0.2">
      <c r="A2" s="3" t="s">
        <v>7</v>
      </c>
      <c r="B2">
        <v>0.36023864719999998</v>
      </c>
      <c r="C2">
        <v>7.9395172306121004E-2</v>
      </c>
      <c r="D2">
        <v>0.80193979760907996</v>
      </c>
      <c r="E2">
        <v>-21.1128508</v>
      </c>
      <c r="F2">
        <v>46.225701600000001</v>
      </c>
      <c r="G2">
        <v>48.225701999999998</v>
      </c>
      <c r="H2">
        <v>1</v>
      </c>
      <c r="I2">
        <v>1</v>
      </c>
    </row>
    <row r="3" spans="1:9" x14ac:dyDescent="0.2">
      <c r="A3" s="3" t="s">
        <v>8</v>
      </c>
      <c r="B3">
        <v>0.18203737480000001</v>
      </c>
      <c r="C3">
        <v>0.124499253691956</v>
      </c>
      <c r="D3">
        <v>0.22866533174309001</v>
      </c>
      <c r="E3">
        <v>-27.139579099999999</v>
      </c>
      <c r="F3">
        <v>58.279158299999999</v>
      </c>
      <c r="G3">
        <v>59.370066999999999</v>
      </c>
      <c r="H3">
        <v>0</v>
      </c>
      <c r="I3">
        <v>0</v>
      </c>
    </row>
    <row r="4" spans="1:9" x14ac:dyDescent="0.2">
      <c r="A4" s="3" t="s">
        <v>9</v>
      </c>
      <c r="B4">
        <v>0.12667812019999999</v>
      </c>
      <c r="C4">
        <v>6.1341035689848999E-2</v>
      </c>
      <c r="D4">
        <v>0.16818328490851001</v>
      </c>
      <c r="E4">
        <v>-24.950091700000002</v>
      </c>
      <c r="F4">
        <v>53.900183400000003</v>
      </c>
      <c r="G4">
        <v>54.991092999999999</v>
      </c>
      <c r="H4">
        <v>0</v>
      </c>
      <c r="I4">
        <v>0</v>
      </c>
    </row>
    <row r="5" spans="1:9" x14ac:dyDescent="0.2">
      <c r="A5" s="3" t="s">
        <v>10</v>
      </c>
      <c r="B5">
        <v>0.1154433731</v>
      </c>
      <c r="C5">
        <v>3.5922935722475999E-2</v>
      </c>
      <c r="D5">
        <v>0.16656957429524</v>
      </c>
      <c r="E5">
        <v>-17.171583800000001</v>
      </c>
      <c r="F5">
        <v>38.343167700000002</v>
      </c>
      <c r="G5">
        <v>40.343167999999999</v>
      </c>
      <c r="H5">
        <v>2</v>
      </c>
      <c r="I5">
        <v>1</v>
      </c>
    </row>
    <row r="6" spans="1:9" x14ac:dyDescent="0.2">
      <c r="A6" s="3" t="s">
        <v>11</v>
      </c>
      <c r="B6">
        <v>6.3186915100000005E-2</v>
      </c>
      <c r="C6">
        <v>5.1186507587605998E-2</v>
      </c>
      <c r="D6">
        <v>7.0633946708020007E-2</v>
      </c>
      <c r="E6">
        <v>-164.14429949999999</v>
      </c>
      <c r="F6">
        <v>332.28859899999998</v>
      </c>
      <c r="G6">
        <v>332.41230999999999</v>
      </c>
      <c r="H6">
        <v>13</v>
      </c>
      <c r="I6">
        <v>4</v>
      </c>
    </row>
    <row r="7" spans="1:9" x14ac:dyDescent="0.2">
      <c r="A7" s="3" t="s">
        <v>12</v>
      </c>
      <c r="B7">
        <v>5.4460592400000001E-2</v>
      </c>
      <c r="C7">
        <v>4.7682435031160004E-3</v>
      </c>
      <c r="D7">
        <v>8.2127160336519997E-2</v>
      </c>
      <c r="E7">
        <v>-7.1733048999999998</v>
      </c>
      <c r="F7">
        <v>18.346609699999998</v>
      </c>
      <c r="G7">
        <v>30.346609999999998</v>
      </c>
      <c r="H7">
        <v>0</v>
      </c>
      <c r="I7">
        <v>0</v>
      </c>
    </row>
    <row r="8" spans="1:9" x14ac:dyDescent="0.2">
      <c r="A8" s="3" t="s">
        <v>13</v>
      </c>
      <c r="B8">
        <v>5.2095723599999998E-2</v>
      </c>
      <c r="C8">
        <v>1.2340173203666E-2</v>
      </c>
      <c r="D8">
        <v>7.4621095692270004E-2</v>
      </c>
      <c r="E8">
        <v>-12.2219479</v>
      </c>
      <c r="F8">
        <v>28.443895900000001</v>
      </c>
      <c r="G8">
        <v>31.443895999999999</v>
      </c>
      <c r="H8">
        <v>0</v>
      </c>
      <c r="I8">
        <v>0</v>
      </c>
    </row>
    <row r="9" spans="1:9" x14ac:dyDescent="0.2">
      <c r="A9" s="3" t="s">
        <v>14</v>
      </c>
      <c r="B9">
        <v>5.0895610799999998E-2</v>
      </c>
      <c r="C9">
        <v>2.1415725305762998E-2</v>
      </c>
      <c r="D9">
        <v>9.1444179017279997E-2</v>
      </c>
      <c r="E9">
        <v>-12.311692300000001</v>
      </c>
      <c r="F9">
        <v>28.623384699999999</v>
      </c>
      <c r="G9">
        <v>31.623384999999999</v>
      </c>
      <c r="H9">
        <v>1</v>
      </c>
      <c r="I9">
        <v>1</v>
      </c>
    </row>
    <row r="10" spans="1:9" x14ac:dyDescent="0.2">
      <c r="A10" s="3" t="s">
        <v>15</v>
      </c>
      <c r="B10">
        <v>3.7612128500000001E-2</v>
      </c>
      <c r="C10">
        <v>2.4983206131087E-2</v>
      </c>
      <c r="D10">
        <v>4.7342795010510003E-2</v>
      </c>
      <c r="E10">
        <v>-41.790501200000001</v>
      </c>
      <c r="F10">
        <v>87.581002400000003</v>
      </c>
      <c r="G10">
        <v>88.081001999999998</v>
      </c>
      <c r="H10">
        <v>4</v>
      </c>
      <c r="I10">
        <v>2</v>
      </c>
    </row>
    <row r="11" spans="1:9" x14ac:dyDescent="0.2">
      <c r="A11" s="3" t="s">
        <v>16</v>
      </c>
      <c r="B11">
        <v>2.3584138599999999E-2</v>
      </c>
      <c r="C11">
        <v>1.2280563440346001E-2</v>
      </c>
      <c r="D11">
        <v>3.6494919523669997E-2</v>
      </c>
      <c r="E11">
        <v>-32.047401200000003</v>
      </c>
      <c r="F11">
        <v>68.0948025</v>
      </c>
      <c r="G11">
        <v>68.640257000000005</v>
      </c>
      <c r="H11">
        <v>8</v>
      </c>
      <c r="I11">
        <v>8</v>
      </c>
    </row>
    <row r="12" spans="1:9" x14ac:dyDescent="0.2">
      <c r="A12" s="3" t="s">
        <v>17</v>
      </c>
      <c r="B12">
        <v>2.2722195800000001E-2</v>
      </c>
      <c r="C12">
        <v>1.4783536860345E-2</v>
      </c>
      <c r="D12">
        <v>2.969107773255E-2</v>
      </c>
      <c r="E12">
        <v>-32.9801109</v>
      </c>
      <c r="F12">
        <v>69.960221799999999</v>
      </c>
      <c r="G12">
        <v>70.591801000000004</v>
      </c>
      <c r="H12">
        <v>0</v>
      </c>
      <c r="I12">
        <v>0</v>
      </c>
    </row>
    <row r="13" spans="1:9" x14ac:dyDescent="0.2">
      <c r="A13" s="3" t="s">
        <v>18</v>
      </c>
      <c r="B13">
        <v>1.1574173999999999E-3</v>
      </c>
      <c r="C13">
        <v>6.3204815951000001E-4</v>
      </c>
      <c r="D13">
        <v>2.4009796033299998E-3</v>
      </c>
      <c r="E13">
        <v>-10.112675299999999</v>
      </c>
      <c r="F13">
        <v>24.225350599999999</v>
      </c>
      <c r="G13">
        <v>26.625350999999998</v>
      </c>
      <c r="H13">
        <v>0</v>
      </c>
      <c r="I13">
        <v>0</v>
      </c>
    </row>
    <row r="14" spans="1:9" x14ac:dyDescent="0.2">
      <c r="A14" s="3" t="s">
        <v>19</v>
      </c>
      <c r="B14">
        <v>9.5859063199999997E-2</v>
      </c>
      <c r="C14">
        <v>7.9212503457837993E-2</v>
      </c>
      <c r="D14">
        <v>0.10044005888775</v>
      </c>
      <c r="E14">
        <v>-166.02674060000001</v>
      </c>
      <c r="F14">
        <v>336.05348129999999</v>
      </c>
      <c r="G14">
        <v>336.17719299999999</v>
      </c>
      <c r="H14">
        <v>13</v>
      </c>
      <c r="I14">
        <v>4</v>
      </c>
    </row>
    <row r="15" spans="1:9" x14ac:dyDescent="0.2">
      <c r="A15" s="3" t="s">
        <v>20</v>
      </c>
      <c r="B15">
        <v>4.8230710199999999E-2</v>
      </c>
      <c r="C15">
        <v>2.4173747091417001E-2</v>
      </c>
      <c r="D15">
        <v>6.1301956134210002E-2</v>
      </c>
      <c r="E15">
        <v>-37.029425099999997</v>
      </c>
      <c r="F15">
        <v>78.058850300000003</v>
      </c>
      <c r="G15">
        <v>78.558850000000007</v>
      </c>
      <c r="H15">
        <v>4</v>
      </c>
      <c r="I15">
        <v>2</v>
      </c>
    </row>
    <row r="16" spans="1:9" x14ac:dyDescent="0.2">
      <c r="A16" s="3" t="s">
        <v>21</v>
      </c>
      <c r="B16">
        <v>4.5146741099999999E-2</v>
      </c>
      <c r="C16">
        <v>2.2208487708150999E-2</v>
      </c>
      <c r="D16">
        <v>6.6104185258309994E-2</v>
      </c>
      <c r="E16">
        <v>-27.2778864</v>
      </c>
      <c r="F16">
        <v>58.5557728</v>
      </c>
      <c r="G16">
        <v>59.187351999999997</v>
      </c>
      <c r="H16">
        <v>0</v>
      </c>
      <c r="I16">
        <v>0</v>
      </c>
    </row>
    <row r="17" spans="1:9" x14ac:dyDescent="0.2">
      <c r="A17" s="3" t="s">
        <v>22</v>
      </c>
      <c r="B17">
        <v>4.3112135900000001E-2</v>
      </c>
      <c r="C17">
        <v>1.4741032194841E-2</v>
      </c>
      <c r="D17">
        <v>8.7391275291540005E-2</v>
      </c>
      <c r="E17">
        <v>-13.9003718</v>
      </c>
      <c r="F17">
        <v>31.800743600000001</v>
      </c>
      <c r="G17">
        <v>33.800744000000002</v>
      </c>
      <c r="H17">
        <v>1</v>
      </c>
      <c r="I17">
        <v>1</v>
      </c>
    </row>
    <row r="18" spans="1:9" x14ac:dyDescent="0.2">
      <c r="A18" s="3" t="s">
        <v>23</v>
      </c>
      <c r="B18">
        <v>3.2889855199999998E-2</v>
      </c>
      <c r="C18">
        <v>8.1757669849019995E-3</v>
      </c>
      <c r="D18">
        <v>4.3801915616259998E-2</v>
      </c>
      <c r="E18">
        <v>-17.309193700000002</v>
      </c>
      <c r="F18">
        <v>38.618387300000002</v>
      </c>
      <c r="G18">
        <v>39.709296000000002</v>
      </c>
      <c r="H18">
        <v>0</v>
      </c>
      <c r="I18">
        <v>0</v>
      </c>
    </row>
    <row r="19" spans="1:9" x14ac:dyDescent="0.2">
      <c r="A19" s="3" t="s">
        <v>24</v>
      </c>
      <c r="B19">
        <v>2.2039018099999998E-2</v>
      </c>
      <c r="C19">
        <v>6.894317224617E-3</v>
      </c>
      <c r="D19">
        <v>3.088885946748E-2</v>
      </c>
      <c r="E19">
        <v>-12.9386808</v>
      </c>
      <c r="F19">
        <v>29.877361499999999</v>
      </c>
      <c r="G19">
        <v>31.877362000000002</v>
      </c>
      <c r="H19">
        <v>2</v>
      </c>
      <c r="I19">
        <v>1</v>
      </c>
    </row>
    <row r="20" spans="1:9" x14ac:dyDescent="0.2">
      <c r="A20" s="3" t="s">
        <v>25</v>
      </c>
      <c r="B20">
        <v>1.43002514E-2</v>
      </c>
      <c r="C20">
        <v>5.1665043822259997E-3</v>
      </c>
      <c r="D20">
        <v>1.7379494346530001E-2</v>
      </c>
      <c r="E20">
        <v>-10.0124456</v>
      </c>
      <c r="F20">
        <v>24.024891199999999</v>
      </c>
      <c r="G20">
        <v>25.1158</v>
      </c>
      <c r="H20">
        <v>0</v>
      </c>
      <c r="I20">
        <v>0</v>
      </c>
    </row>
    <row r="21" spans="1:9" x14ac:dyDescent="0.2">
      <c r="A21" s="3" t="s">
        <v>26</v>
      </c>
      <c r="B21">
        <v>9.0832685E-3</v>
      </c>
      <c r="C21">
        <v>5.1007631508529997E-3</v>
      </c>
      <c r="D21">
        <v>1.0066062396280001E-2</v>
      </c>
      <c r="E21">
        <v>-20.563210099999999</v>
      </c>
      <c r="F21">
        <v>45.126420199999998</v>
      </c>
      <c r="G21">
        <v>45.671875</v>
      </c>
      <c r="H21">
        <v>8</v>
      </c>
      <c r="I21">
        <v>8</v>
      </c>
    </row>
    <row r="22" spans="1:9" x14ac:dyDescent="0.2">
      <c r="A22" s="3" t="s">
        <v>27</v>
      </c>
      <c r="B22">
        <v>7.6773168999999999E-3</v>
      </c>
      <c r="C22">
        <v>1.4734712254979999E-3</v>
      </c>
      <c r="D22">
        <v>1.1108632893849999E-2</v>
      </c>
      <c r="E22">
        <v>-5.8857587999999996</v>
      </c>
      <c r="F22">
        <v>15.7715177</v>
      </c>
      <c r="G22">
        <v>18.771518</v>
      </c>
      <c r="H22">
        <v>0</v>
      </c>
      <c r="I22">
        <v>0</v>
      </c>
    </row>
    <row r="23" spans="1:9" x14ac:dyDescent="0.2">
      <c r="A23" s="3" t="s">
        <v>28</v>
      </c>
      <c r="B23">
        <v>9.618246E-4</v>
      </c>
      <c r="C23">
        <v>2.9467870224000002E-4</v>
      </c>
      <c r="D23">
        <v>1.3565291993000001E-3</v>
      </c>
      <c r="E23">
        <v>-1.7045032</v>
      </c>
      <c r="F23">
        <v>7.4090062999999997</v>
      </c>
      <c r="G23">
        <v>9.8090060000000001</v>
      </c>
      <c r="H23">
        <v>0</v>
      </c>
      <c r="I23">
        <v>0</v>
      </c>
    </row>
    <row r="24" spans="1:9" x14ac:dyDescent="0.2">
      <c r="A24" s="3" t="s">
        <v>29</v>
      </c>
      <c r="B24">
        <v>1.0000000000000001E-9</v>
      </c>
      <c r="C24">
        <v>4.0130589999999999E-9</v>
      </c>
      <c r="D24">
        <v>2.0694410000000002E-8</v>
      </c>
      <c r="E24">
        <v>-1.2079757</v>
      </c>
      <c r="F24">
        <v>6.4159514</v>
      </c>
      <c r="G24">
        <v>9.4159509999999997</v>
      </c>
      <c r="H24">
        <v>1</v>
      </c>
      <c r="I24">
        <v>1</v>
      </c>
    </row>
    <row r="25" spans="1:9" x14ac:dyDescent="0.2">
      <c r="A25" s="3" t="s">
        <v>30</v>
      </c>
      <c r="B25">
        <v>1.0000000000000001E-9</v>
      </c>
      <c r="C25">
        <v>1.722197E-9</v>
      </c>
      <c r="D25">
        <v>2.2477200000000001E-8</v>
      </c>
      <c r="E25">
        <v>-0.59464989999999995</v>
      </c>
      <c r="F25">
        <v>5.1892997999999997</v>
      </c>
      <c r="G25">
        <v>17.189299999999999</v>
      </c>
      <c r="H25">
        <v>0</v>
      </c>
      <c r="I25">
        <v>0</v>
      </c>
    </row>
    <row r="26" spans="1:9" x14ac:dyDescent="0.2">
      <c r="A26" s="3" t="s">
        <v>31</v>
      </c>
      <c r="B26">
        <v>8.0778479799999997E-2</v>
      </c>
      <c r="C26">
        <v>2.2331915276163E-2</v>
      </c>
      <c r="D26">
        <v>0.11138324810222</v>
      </c>
      <c r="E26">
        <v>-15.7249345</v>
      </c>
      <c r="F26">
        <v>35.449869</v>
      </c>
      <c r="G26">
        <v>37.449869</v>
      </c>
      <c r="H26">
        <v>1</v>
      </c>
      <c r="I26">
        <v>1</v>
      </c>
    </row>
    <row r="27" spans="1:9" x14ac:dyDescent="0.2">
      <c r="A27" s="3" t="s">
        <v>32</v>
      </c>
      <c r="B27">
        <v>4.3267708799999999E-2</v>
      </c>
      <c r="C27">
        <v>2.7833411486990998E-2</v>
      </c>
      <c r="D27">
        <v>6.9822187429300006E-2</v>
      </c>
      <c r="E27">
        <v>-18.878115699999999</v>
      </c>
      <c r="F27">
        <v>41.756231300000003</v>
      </c>
      <c r="G27">
        <v>42.847140000000003</v>
      </c>
      <c r="H27">
        <v>0</v>
      </c>
      <c r="I27">
        <v>0</v>
      </c>
    </row>
    <row r="28" spans="1:9" x14ac:dyDescent="0.2">
      <c r="A28" s="3" t="s">
        <v>33</v>
      </c>
      <c r="B28">
        <v>4.1261413599999998E-2</v>
      </c>
      <c r="C28">
        <v>2.4696981802192E-2</v>
      </c>
      <c r="D28">
        <v>6.4437388603770004E-2</v>
      </c>
      <c r="E28">
        <v>-34.920170200000001</v>
      </c>
      <c r="F28">
        <v>73.840340400000002</v>
      </c>
      <c r="G28">
        <v>74.340339999999998</v>
      </c>
      <c r="H28">
        <v>4</v>
      </c>
      <c r="I28">
        <v>2</v>
      </c>
    </row>
    <row r="29" spans="1:9" x14ac:dyDescent="0.2">
      <c r="A29" s="3" t="s">
        <v>34</v>
      </c>
      <c r="B29">
        <v>4.0805280200000002E-2</v>
      </c>
      <c r="C29">
        <v>2.3354582704239998E-2</v>
      </c>
      <c r="D29">
        <v>4.7626662598820001E-2</v>
      </c>
      <c r="E29">
        <v>-30.209830499999999</v>
      </c>
      <c r="F29">
        <v>64.419660899999997</v>
      </c>
      <c r="G29">
        <v>64.965114999999997</v>
      </c>
      <c r="H29">
        <v>8</v>
      </c>
      <c r="I29">
        <v>8</v>
      </c>
    </row>
    <row r="30" spans="1:9" x14ac:dyDescent="0.2">
      <c r="A30" s="3" t="s">
        <v>35</v>
      </c>
      <c r="B30">
        <v>3.4681526499999997E-2</v>
      </c>
      <c r="C30">
        <v>2.5139631629544999E-2</v>
      </c>
      <c r="D30">
        <v>3.9110358335919998E-2</v>
      </c>
      <c r="E30">
        <v>-118.8304881</v>
      </c>
      <c r="F30">
        <v>241.66097629999999</v>
      </c>
      <c r="G30">
        <v>241.78468799999999</v>
      </c>
      <c r="H30">
        <v>13</v>
      </c>
      <c r="I30">
        <v>4</v>
      </c>
    </row>
    <row r="31" spans="1:9" x14ac:dyDescent="0.2">
      <c r="A31" s="3" t="s">
        <v>36</v>
      </c>
      <c r="B31">
        <v>3.0292582200000001E-2</v>
      </c>
      <c r="C31">
        <v>1.6894828959563998E-2</v>
      </c>
      <c r="D31">
        <v>4.6463034384290003E-2</v>
      </c>
      <c r="E31">
        <v>-11.0168116</v>
      </c>
      <c r="F31">
        <v>26.0336231</v>
      </c>
      <c r="G31">
        <v>28.033622999999999</v>
      </c>
      <c r="H31">
        <v>2</v>
      </c>
      <c r="I31">
        <v>1</v>
      </c>
    </row>
    <row r="32" spans="1:9" x14ac:dyDescent="0.2">
      <c r="A32" s="3" t="s">
        <v>37</v>
      </c>
      <c r="B32">
        <v>2.54332167E-2</v>
      </c>
      <c r="C32">
        <v>1.4310686312835001E-2</v>
      </c>
      <c r="D32">
        <v>3.8493363347429997E-2</v>
      </c>
      <c r="E32">
        <v>-23.770845099999999</v>
      </c>
      <c r="F32">
        <v>51.541690099999997</v>
      </c>
      <c r="G32">
        <v>52.173268999999998</v>
      </c>
      <c r="H32">
        <v>0</v>
      </c>
      <c r="I32">
        <v>0</v>
      </c>
    </row>
    <row r="33" spans="1:9" x14ac:dyDescent="0.2">
      <c r="A33" s="3" t="s">
        <v>38</v>
      </c>
      <c r="B33">
        <v>5.1519256000000001E-3</v>
      </c>
      <c r="C33">
        <v>1.193928025041E-3</v>
      </c>
      <c r="D33">
        <v>1.249608286267E-2</v>
      </c>
      <c r="E33">
        <v>-3.4303203</v>
      </c>
      <c r="F33">
        <v>10.860640699999999</v>
      </c>
      <c r="G33">
        <v>22.860641000000001</v>
      </c>
      <c r="H33">
        <v>0</v>
      </c>
      <c r="I33">
        <v>0</v>
      </c>
    </row>
    <row r="34" spans="1:9" x14ac:dyDescent="0.2">
      <c r="A34" s="3" t="s">
        <v>39</v>
      </c>
      <c r="B34">
        <v>1.0000000000000001E-9</v>
      </c>
      <c r="C34">
        <v>4.7451710000000004E-9</v>
      </c>
      <c r="D34">
        <v>1.9929899999999998E-8</v>
      </c>
      <c r="E34">
        <v>-2.1261632000000001</v>
      </c>
      <c r="F34">
        <v>8.2523263999999994</v>
      </c>
      <c r="G34">
        <v>10.652326</v>
      </c>
      <c r="H34">
        <v>0</v>
      </c>
      <c r="I34">
        <v>0</v>
      </c>
    </row>
    <row r="35" spans="1:9" x14ac:dyDescent="0.2">
      <c r="A35" s="3" t="s">
        <v>40</v>
      </c>
      <c r="B35">
        <v>1.0000000000000001E-9</v>
      </c>
      <c r="C35">
        <v>2.467413E-9</v>
      </c>
      <c r="D35">
        <v>1.536434E-8</v>
      </c>
      <c r="E35">
        <v>-5.8480487999999999</v>
      </c>
      <c r="F35">
        <v>15.6960976</v>
      </c>
      <c r="G35">
        <v>18.696097999999999</v>
      </c>
      <c r="H35">
        <v>1</v>
      </c>
      <c r="I35">
        <v>1</v>
      </c>
    </row>
    <row r="36" spans="1:9" x14ac:dyDescent="0.2">
      <c r="A36" s="3" t="s">
        <v>41</v>
      </c>
      <c r="B36">
        <v>1.0000000000000001E-9</v>
      </c>
      <c r="C36">
        <v>3.7159720000000002E-9</v>
      </c>
      <c r="D36">
        <v>1.759472E-8</v>
      </c>
      <c r="E36">
        <v>1.5043422</v>
      </c>
      <c r="F36">
        <v>0.99131559999999996</v>
      </c>
      <c r="G36">
        <v>3.9913159999999999</v>
      </c>
      <c r="H36">
        <v>0</v>
      </c>
      <c r="I36">
        <v>0</v>
      </c>
    </row>
    <row r="37" spans="1:9" x14ac:dyDescent="0.2">
      <c r="A37" s="3" t="s">
        <v>42</v>
      </c>
      <c r="B37">
        <v>1.0000000000000001E-9</v>
      </c>
      <c r="C37">
        <v>4.7383189999999999E-9</v>
      </c>
      <c r="D37">
        <v>1.3952719999999999E-8</v>
      </c>
      <c r="E37">
        <v>-5.4535860999999999</v>
      </c>
      <c r="F37">
        <v>14.9071721</v>
      </c>
      <c r="G37">
        <v>15.998081000000001</v>
      </c>
      <c r="H37">
        <v>0</v>
      </c>
      <c r="I37">
        <v>0</v>
      </c>
    </row>
  </sheetData>
  <autoFilter ref="A1:I37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97A0-5FC5-BE43-B15E-2A0689CA933D}">
  <dimension ref="A1:H37"/>
  <sheetViews>
    <sheetView topLeftCell="A17" zoomScale="180" workbookViewId="0">
      <selection activeCell="F35" sqref="F35"/>
    </sheetView>
  </sheetViews>
  <sheetFormatPr baseColWidth="10" defaultRowHeight="15" x14ac:dyDescent="0.2"/>
  <cols>
    <col min="1" max="1" width="4.1640625" bestFit="1" customWidth="1"/>
    <col min="2" max="2" width="15.1640625" bestFit="1" customWidth="1"/>
    <col min="3" max="3" width="5.83203125" bestFit="1" customWidth="1"/>
    <col min="4" max="4" width="8.1640625" bestFit="1" customWidth="1"/>
    <col min="5" max="5" width="8.5" bestFit="1" customWidth="1"/>
    <col min="6" max="6" width="8" bestFit="1" customWidth="1"/>
    <col min="7" max="8" width="6.5" bestFit="1" customWidth="1"/>
  </cols>
  <sheetData>
    <row r="1" spans="1:8" x14ac:dyDescent="0.2">
      <c r="A1" s="1" t="s">
        <v>61</v>
      </c>
      <c r="B1" s="1" t="s">
        <v>60</v>
      </c>
      <c r="C1" s="1" t="s">
        <v>1</v>
      </c>
      <c r="D1" s="1" t="s">
        <v>2</v>
      </c>
      <c r="E1" s="1" t="s">
        <v>3</v>
      </c>
      <c r="F1" s="1" t="s">
        <v>62</v>
      </c>
      <c r="G1" s="1" t="s">
        <v>5</v>
      </c>
      <c r="H1" s="1" t="s">
        <v>6</v>
      </c>
    </row>
    <row r="2" spans="1:8" x14ac:dyDescent="0.2">
      <c r="A2" s="1" t="s">
        <v>45</v>
      </c>
      <c r="B2" s="1" t="s">
        <v>48</v>
      </c>
      <c r="C2" s="1">
        <f>ROUND('Sheet 1'!B2, 3)</f>
        <v>0.36</v>
      </c>
      <c r="D2" s="1">
        <f>ROUND('Sheet 1'!C2, 3)</f>
        <v>7.9000000000000001E-2</v>
      </c>
      <c r="E2" s="1">
        <f>ROUND('Sheet 1'!D2, 3)</f>
        <v>0.80200000000000005</v>
      </c>
      <c r="F2" s="1">
        <f>ROUND('Sheet 1'!E2, 3)</f>
        <v>-21.113</v>
      </c>
      <c r="G2" s="1">
        <f>ROUND('Sheet 1'!F2, 2)</f>
        <v>46.23</v>
      </c>
      <c r="H2" s="1">
        <f>ROUND('Sheet 1'!G2, 2)</f>
        <v>48.23</v>
      </c>
    </row>
    <row r="3" spans="1:8" x14ac:dyDescent="0.2">
      <c r="A3" s="1"/>
      <c r="B3" s="1" t="s">
        <v>49</v>
      </c>
      <c r="C3" s="1">
        <f>ROUND('Sheet 1'!B3, 3)</f>
        <v>0.182</v>
      </c>
      <c r="D3" s="1">
        <f>ROUND('Sheet 1'!C3, 3)</f>
        <v>0.124</v>
      </c>
      <c r="E3" s="1">
        <f>ROUND('Sheet 1'!D3, 3)</f>
        <v>0.22900000000000001</v>
      </c>
      <c r="F3" s="1">
        <f>ROUND('Sheet 1'!E3, 3)</f>
        <v>-27.14</v>
      </c>
      <c r="G3" s="1">
        <f>ROUND('Sheet 1'!F3, 2)</f>
        <v>58.28</v>
      </c>
      <c r="H3" s="1">
        <f>ROUND('Sheet 1'!G3, 2)</f>
        <v>59.37</v>
      </c>
    </row>
    <row r="4" spans="1:8" x14ac:dyDescent="0.2">
      <c r="A4" s="1"/>
      <c r="B4" s="1" t="s">
        <v>59</v>
      </c>
      <c r="C4" s="1">
        <f>ROUND('Sheet 1'!B4, 3)</f>
        <v>0.127</v>
      </c>
      <c r="D4" s="1">
        <f>ROUND('Sheet 1'!C4, 3)</f>
        <v>6.0999999999999999E-2</v>
      </c>
      <c r="E4" s="1">
        <f>ROUND('Sheet 1'!D4, 3)</f>
        <v>0.16800000000000001</v>
      </c>
      <c r="F4" s="1">
        <f>ROUND('Sheet 1'!E4, 3)</f>
        <v>-24.95</v>
      </c>
      <c r="G4" s="1">
        <f>ROUND('Sheet 1'!F4, 2)</f>
        <v>53.9</v>
      </c>
      <c r="H4" s="1">
        <f>ROUND('Sheet 1'!G4, 2)</f>
        <v>54.99</v>
      </c>
    </row>
    <row r="5" spans="1:8" x14ac:dyDescent="0.2">
      <c r="A5" s="1"/>
      <c r="B5" s="1" t="s">
        <v>58</v>
      </c>
      <c r="C5" s="1">
        <f>ROUND('Sheet 1'!B5, 3)</f>
        <v>0.115</v>
      </c>
      <c r="D5" s="1">
        <f>ROUND('Sheet 1'!C5, 3)</f>
        <v>3.5999999999999997E-2</v>
      </c>
      <c r="E5" s="1">
        <f>ROUND('Sheet 1'!D5, 3)</f>
        <v>0.16700000000000001</v>
      </c>
      <c r="F5" s="1">
        <f>ROUND('Sheet 1'!E5, 3)</f>
        <v>-17.172000000000001</v>
      </c>
      <c r="G5" s="1">
        <f>ROUND('Sheet 1'!F5, 2)</f>
        <v>38.340000000000003</v>
      </c>
      <c r="H5" s="1">
        <f>ROUND('Sheet 1'!G5, 2)</f>
        <v>40.340000000000003</v>
      </c>
    </row>
    <row r="6" spans="1:8" x14ac:dyDescent="0.2">
      <c r="A6" s="1"/>
      <c r="B6" s="1" t="s">
        <v>52</v>
      </c>
      <c r="C6" s="1">
        <f>ROUND('Sheet 1'!B6, 3)</f>
        <v>6.3E-2</v>
      </c>
      <c r="D6" s="1">
        <f>ROUND('Sheet 1'!C6, 3)</f>
        <v>5.0999999999999997E-2</v>
      </c>
      <c r="E6" s="1">
        <f>ROUND('Sheet 1'!D6, 3)</f>
        <v>7.0999999999999994E-2</v>
      </c>
      <c r="F6" s="1">
        <f>ROUND('Sheet 1'!E6, 3)</f>
        <v>-164.14400000000001</v>
      </c>
      <c r="G6" s="1">
        <f>ROUND('Sheet 1'!F6, 2)</f>
        <v>332.29</v>
      </c>
      <c r="H6" s="1">
        <f>ROUND('Sheet 1'!G6, 2)</f>
        <v>332.41</v>
      </c>
    </row>
    <row r="7" spans="1:8" x14ac:dyDescent="0.2">
      <c r="A7" s="1"/>
      <c r="B7" s="1" t="s">
        <v>57</v>
      </c>
      <c r="C7" s="1">
        <f>ROUND('Sheet 1'!B7, 3)</f>
        <v>5.3999999999999999E-2</v>
      </c>
      <c r="D7" s="1">
        <f>ROUND('Sheet 1'!C7, 3)</f>
        <v>5.0000000000000001E-3</v>
      </c>
      <c r="E7" s="1">
        <f>ROUND('Sheet 1'!D7, 3)</f>
        <v>8.2000000000000003E-2</v>
      </c>
      <c r="F7" s="1">
        <f>ROUND('Sheet 1'!E7, 3)</f>
        <v>-7.173</v>
      </c>
      <c r="G7" s="1">
        <f>ROUND('Sheet 1'!F7, 2)</f>
        <v>18.350000000000001</v>
      </c>
      <c r="H7" s="1">
        <f>ROUND('Sheet 1'!G7, 2)</f>
        <v>30.35</v>
      </c>
    </row>
    <row r="8" spans="1:8" x14ac:dyDescent="0.2">
      <c r="A8" s="1"/>
      <c r="B8" s="1" t="s">
        <v>56</v>
      </c>
      <c r="C8" s="1">
        <f>ROUND('Sheet 1'!B8, 3)</f>
        <v>5.1999999999999998E-2</v>
      </c>
      <c r="D8" s="1">
        <f>ROUND('Sheet 1'!C8, 3)</f>
        <v>1.2E-2</v>
      </c>
      <c r="E8" s="1">
        <f>ROUND('Sheet 1'!D8, 3)</f>
        <v>7.4999999999999997E-2</v>
      </c>
      <c r="F8" s="1">
        <f>ROUND('Sheet 1'!E8, 3)</f>
        <v>-12.222</v>
      </c>
      <c r="G8" s="1">
        <f>ROUND('Sheet 1'!F8, 2)</f>
        <v>28.44</v>
      </c>
      <c r="H8" s="1">
        <f>ROUND('Sheet 1'!G8, 2)</f>
        <v>31.44</v>
      </c>
    </row>
    <row r="9" spans="1:8" x14ac:dyDescent="0.2">
      <c r="A9" s="1"/>
      <c r="B9" s="1" t="s">
        <v>55</v>
      </c>
      <c r="C9" s="1">
        <f>ROUND('Sheet 1'!B9, 3)</f>
        <v>5.0999999999999997E-2</v>
      </c>
      <c r="D9" s="1">
        <f>ROUND('Sheet 1'!C9, 3)</f>
        <v>2.1000000000000001E-2</v>
      </c>
      <c r="E9" s="1">
        <f>ROUND('Sheet 1'!D9, 3)</f>
        <v>9.0999999999999998E-2</v>
      </c>
      <c r="F9" s="1">
        <f>ROUND('Sheet 1'!E9, 3)</f>
        <v>-12.311999999999999</v>
      </c>
      <c r="G9" s="1">
        <f>ROUND('Sheet 1'!F9, 2)</f>
        <v>28.62</v>
      </c>
      <c r="H9" s="1">
        <f>ROUND('Sheet 1'!G9, 2)</f>
        <v>31.62</v>
      </c>
    </row>
    <row r="10" spans="1:8" x14ac:dyDescent="0.2">
      <c r="A10" s="1"/>
      <c r="B10" s="1" t="s">
        <v>51</v>
      </c>
      <c r="C10" s="1">
        <f>ROUND('Sheet 1'!B10, 3)</f>
        <v>3.7999999999999999E-2</v>
      </c>
      <c r="D10" s="1">
        <f>ROUND('Sheet 1'!C10, 3)</f>
        <v>2.5000000000000001E-2</v>
      </c>
      <c r="E10" s="1">
        <f>ROUND('Sheet 1'!D10, 3)</f>
        <v>4.7E-2</v>
      </c>
      <c r="F10" s="1">
        <f>ROUND('Sheet 1'!E10, 3)</f>
        <v>-41.790999999999997</v>
      </c>
      <c r="G10" s="1">
        <f>ROUND('Sheet 1'!F10, 2)</f>
        <v>87.58</v>
      </c>
      <c r="H10" s="1">
        <f>ROUND('Sheet 1'!G10, 2)</f>
        <v>88.08</v>
      </c>
    </row>
    <row r="11" spans="1:8" x14ac:dyDescent="0.2">
      <c r="A11" s="1"/>
      <c r="B11" s="1" t="s">
        <v>54</v>
      </c>
      <c r="C11" s="1">
        <f>ROUND('Sheet 1'!B11, 3)</f>
        <v>2.4E-2</v>
      </c>
      <c r="D11" s="1">
        <f>ROUND('Sheet 1'!C11, 3)</f>
        <v>1.2E-2</v>
      </c>
      <c r="E11" s="1">
        <f>ROUND('Sheet 1'!D11, 3)</f>
        <v>3.5999999999999997E-2</v>
      </c>
      <c r="F11" s="1">
        <f>ROUND('Sheet 1'!E11, 3)</f>
        <v>-32.046999999999997</v>
      </c>
      <c r="G11" s="1">
        <f>ROUND('Sheet 1'!F11, 2)</f>
        <v>68.09</v>
      </c>
      <c r="H11" s="1">
        <f>ROUND('Sheet 1'!G11, 2)</f>
        <v>68.64</v>
      </c>
    </row>
    <row r="12" spans="1:8" x14ac:dyDescent="0.2">
      <c r="A12" s="1"/>
      <c r="B12" s="1" t="s">
        <v>50</v>
      </c>
      <c r="C12" s="1">
        <f>ROUND('Sheet 1'!B12, 3)</f>
        <v>2.3E-2</v>
      </c>
      <c r="D12" s="1">
        <f>ROUND('Sheet 1'!C12, 3)</f>
        <v>1.4999999999999999E-2</v>
      </c>
      <c r="E12" s="1">
        <f>ROUND('Sheet 1'!D12, 3)</f>
        <v>0.03</v>
      </c>
      <c r="F12" s="1">
        <f>ROUND('Sheet 1'!E12, 3)</f>
        <v>-32.979999999999997</v>
      </c>
      <c r="G12" s="1">
        <f>ROUND('Sheet 1'!F12, 2)</f>
        <v>69.959999999999994</v>
      </c>
      <c r="H12" s="1">
        <f>ROUND('Sheet 1'!G12, 2)</f>
        <v>70.59</v>
      </c>
    </row>
    <row r="13" spans="1:8" x14ac:dyDescent="0.2">
      <c r="A13" s="1"/>
      <c r="B13" s="1" t="s">
        <v>53</v>
      </c>
      <c r="C13" s="1">
        <f>ROUND('Sheet 1'!B13, 3)</f>
        <v>1E-3</v>
      </c>
      <c r="D13" s="1">
        <f>ROUND('Sheet 1'!C13, 3)</f>
        <v>1E-3</v>
      </c>
      <c r="E13" s="1">
        <f>ROUND('Sheet 1'!D13, 3)</f>
        <v>2E-3</v>
      </c>
      <c r="F13" s="1">
        <f>ROUND('Sheet 1'!E13, 3)</f>
        <v>-10.113</v>
      </c>
      <c r="G13" s="1">
        <f>ROUND('Sheet 1'!F13, 2)</f>
        <v>24.23</v>
      </c>
      <c r="H13" s="1">
        <f>ROUND('Sheet 1'!G13, 2)</f>
        <v>26.63</v>
      </c>
    </row>
    <row r="14" spans="1:8" x14ac:dyDescent="0.2">
      <c r="A14" s="1" t="s">
        <v>46</v>
      </c>
      <c r="B14" s="1" t="s">
        <v>52</v>
      </c>
      <c r="C14" s="1">
        <f>ROUND('Sheet 1'!B14, 3)</f>
        <v>9.6000000000000002E-2</v>
      </c>
      <c r="D14" s="1">
        <f>ROUND('Sheet 1'!C14, 3)</f>
        <v>7.9000000000000001E-2</v>
      </c>
      <c r="E14" s="1">
        <f>ROUND('Sheet 1'!D14, 3)</f>
        <v>0.1</v>
      </c>
      <c r="F14" s="1">
        <f>ROUND('Sheet 1'!E14, 3)</f>
        <v>-166.02699999999999</v>
      </c>
      <c r="G14" s="1">
        <f>ROUND('Sheet 1'!F14, 2)</f>
        <v>336.05</v>
      </c>
      <c r="H14" s="1">
        <f>ROUND('Sheet 1'!G14, 2)</f>
        <v>336.18</v>
      </c>
    </row>
    <row r="15" spans="1:8" x14ac:dyDescent="0.2">
      <c r="A15" s="1"/>
      <c r="B15" s="1" t="s">
        <v>51</v>
      </c>
      <c r="C15" s="1">
        <f>ROUND('Sheet 1'!B15, 3)</f>
        <v>4.8000000000000001E-2</v>
      </c>
      <c r="D15" s="1">
        <f>ROUND('Sheet 1'!C15, 3)</f>
        <v>2.4E-2</v>
      </c>
      <c r="E15" s="1">
        <f>ROUND('Sheet 1'!D15, 3)</f>
        <v>6.0999999999999999E-2</v>
      </c>
      <c r="F15" s="1">
        <f>ROUND('Sheet 1'!E15, 3)</f>
        <v>-37.029000000000003</v>
      </c>
      <c r="G15" s="1">
        <f>ROUND('Sheet 1'!F15, 2)</f>
        <v>78.06</v>
      </c>
      <c r="H15" s="1">
        <f>ROUND('Sheet 1'!G15, 2)</f>
        <v>78.56</v>
      </c>
    </row>
    <row r="16" spans="1:8" x14ac:dyDescent="0.2">
      <c r="A16" s="1"/>
      <c r="B16" s="1" t="s">
        <v>50</v>
      </c>
      <c r="C16" s="1">
        <f>ROUND('Sheet 1'!B16, 3)</f>
        <v>4.4999999999999998E-2</v>
      </c>
      <c r="D16" s="1">
        <f>ROUND('Sheet 1'!C16, 3)</f>
        <v>2.1999999999999999E-2</v>
      </c>
      <c r="E16" s="1">
        <f>ROUND('Sheet 1'!D16, 3)</f>
        <v>6.6000000000000003E-2</v>
      </c>
      <c r="F16" s="1">
        <f>ROUND('Sheet 1'!E16, 3)</f>
        <v>-27.277999999999999</v>
      </c>
      <c r="G16" s="1">
        <f>ROUND('Sheet 1'!F16, 2)</f>
        <v>58.56</v>
      </c>
      <c r="H16" s="1">
        <f>ROUND('Sheet 1'!G16, 2)</f>
        <v>59.19</v>
      </c>
    </row>
    <row r="17" spans="1:8" x14ac:dyDescent="0.2">
      <c r="A17" s="1"/>
      <c r="B17" s="1" t="s">
        <v>48</v>
      </c>
      <c r="C17" s="1">
        <f>ROUND('Sheet 1'!B17, 3)</f>
        <v>4.2999999999999997E-2</v>
      </c>
      <c r="D17" s="1">
        <f>ROUND('Sheet 1'!C17, 3)</f>
        <v>1.4999999999999999E-2</v>
      </c>
      <c r="E17" s="1">
        <f>ROUND('Sheet 1'!D17, 3)</f>
        <v>8.6999999999999994E-2</v>
      </c>
      <c r="F17" s="1">
        <f>ROUND('Sheet 1'!E17, 3)</f>
        <v>-13.9</v>
      </c>
      <c r="G17" s="1">
        <f>ROUND('Sheet 1'!F17, 2)</f>
        <v>31.8</v>
      </c>
      <c r="H17" s="1">
        <f>ROUND('Sheet 1'!G17, 2)</f>
        <v>33.799999999999997</v>
      </c>
    </row>
    <row r="18" spans="1:8" x14ac:dyDescent="0.2">
      <c r="A18" s="1"/>
      <c r="B18" s="1" t="s">
        <v>49</v>
      </c>
      <c r="C18" s="1">
        <f>ROUND('Sheet 1'!B18, 3)</f>
        <v>3.3000000000000002E-2</v>
      </c>
      <c r="D18" s="1">
        <f>ROUND('Sheet 1'!C18, 3)</f>
        <v>8.0000000000000002E-3</v>
      </c>
      <c r="E18" s="1">
        <f>ROUND('Sheet 1'!D18, 3)</f>
        <v>4.3999999999999997E-2</v>
      </c>
      <c r="F18" s="1">
        <f>ROUND('Sheet 1'!E18, 3)</f>
        <v>-17.309000000000001</v>
      </c>
      <c r="G18" s="1">
        <f>ROUND('Sheet 1'!F18, 2)</f>
        <v>38.619999999999997</v>
      </c>
      <c r="H18" s="1">
        <f>ROUND('Sheet 1'!G18, 2)</f>
        <v>39.71</v>
      </c>
    </row>
    <row r="19" spans="1:8" x14ac:dyDescent="0.2">
      <c r="A19" s="1"/>
      <c r="B19" s="1" t="s">
        <v>58</v>
      </c>
      <c r="C19" s="1">
        <f>ROUND('Sheet 1'!B19, 3)</f>
        <v>2.1999999999999999E-2</v>
      </c>
      <c r="D19" s="1">
        <f>ROUND('Sheet 1'!C19, 3)</f>
        <v>7.0000000000000001E-3</v>
      </c>
      <c r="E19" s="1">
        <f>ROUND('Sheet 1'!D19, 3)</f>
        <v>3.1E-2</v>
      </c>
      <c r="F19" s="1">
        <f>ROUND('Sheet 1'!E19, 3)</f>
        <v>-12.939</v>
      </c>
      <c r="G19" s="1">
        <f>ROUND('Sheet 1'!F19, 2)</f>
        <v>29.88</v>
      </c>
      <c r="H19" s="1">
        <f>ROUND('Sheet 1'!G19, 2)</f>
        <v>31.88</v>
      </c>
    </row>
    <row r="20" spans="1:8" x14ac:dyDescent="0.2">
      <c r="A20" s="1"/>
      <c r="B20" s="1" t="s">
        <v>59</v>
      </c>
      <c r="C20" s="1">
        <f>ROUND('Sheet 1'!B20, 3)</f>
        <v>1.4E-2</v>
      </c>
      <c r="D20" s="1">
        <f>ROUND('Sheet 1'!C20, 3)</f>
        <v>5.0000000000000001E-3</v>
      </c>
      <c r="E20" s="1">
        <f>ROUND('Sheet 1'!D20, 3)</f>
        <v>1.7000000000000001E-2</v>
      </c>
      <c r="F20" s="1">
        <f>ROUND('Sheet 1'!E20, 3)</f>
        <v>-10.012</v>
      </c>
      <c r="G20" s="1">
        <f>ROUND('Sheet 1'!F20, 2)</f>
        <v>24.02</v>
      </c>
      <c r="H20" s="1">
        <f>ROUND('Sheet 1'!G20, 2)</f>
        <v>25.12</v>
      </c>
    </row>
    <row r="21" spans="1:8" x14ac:dyDescent="0.2">
      <c r="A21" s="1"/>
      <c r="B21" s="1" t="s">
        <v>54</v>
      </c>
      <c r="C21" s="1">
        <f>ROUND('Sheet 1'!B21, 3)</f>
        <v>8.9999999999999993E-3</v>
      </c>
      <c r="D21" s="1">
        <f>ROUND('Sheet 1'!C21, 3)</f>
        <v>5.0000000000000001E-3</v>
      </c>
      <c r="E21" s="1">
        <f>ROUND('Sheet 1'!D21, 3)</f>
        <v>0.01</v>
      </c>
      <c r="F21" s="1">
        <f>ROUND('Sheet 1'!E21, 3)</f>
        <v>-20.562999999999999</v>
      </c>
      <c r="G21" s="1">
        <f>ROUND('Sheet 1'!F21, 2)</f>
        <v>45.13</v>
      </c>
      <c r="H21" s="1">
        <f>ROUND('Sheet 1'!G21, 2)</f>
        <v>45.67</v>
      </c>
    </row>
    <row r="22" spans="1:8" x14ac:dyDescent="0.2">
      <c r="A22" s="1"/>
      <c r="B22" s="1" t="s">
        <v>56</v>
      </c>
      <c r="C22" s="1">
        <f>ROUND('Sheet 1'!B22, 3)</f>
        <v>8.0000000000000002E-3</v>
      </c>
      <c r="D22" s="1">
        <f>ROUND('Sheet 1'!C22, 3)</f>
        <v>1E-3</v>
      </c>
      <c r="E22" s="1">
        <f>ROUND('Sheet 1'!D22, 3)</f>
        <v>1.0999999999999999E-2</v>
      </c>
      <c r="F22" s="1">
        <f>ROUND('Sheet 1'!E22, 3)</f>
        <v>-5.8860000000000001</v>
      </c>
      <c r="G22" s="1">
        <f>ROUND('Sheet 1'!F22, 2)</f>
        <v>15.77</v>
      </c>
      <c r="H22" s="1">
        <f>ROUND('Sheet 1'!G22, 2)</f>
        <v>18.77</v>
      </c>
    </row>
    <row r="23" spans="1:8" x14ac:dyDescent="0.2">
      <c r="A23" s="1"/>
      <c r="B23" s="1" t="s">
        <v>53</v>
      </c>
      <c r="C23" s="1">
        <f>ROUND('Sheet 1'!B23, 3)</f>
        <v>1E-3</v>
      </c>
      <c r="D23" s="2">
        <f>'Sheet 1'!C23</f>
        <v>2.9467870224000002E-4</v>
      </c>
      <c r="E23" s="1">
        <f>ROUND('Sheet 1'!D23, 3)</f>
        <v>1E-3</v>
      </c>
      <c r="F23" s="1">
        <f>ROUND('Sheet 1'!E23, 3)</f>
        <v>-1.7050000000000001</v>
      </c>
      <c r="G23" s="1">
        <f>ROUND('Sheet 1'!F23, 2)</f>
        <v>7.41</v>
      </c>
      <c r="H23" s="1">
        <f>ROUND('Sheet 1'!G23, 2)</f>
        <v>9.81</v>
      </c>
    </row>
    <row r="24" spans="1:8" x14ac:dyDescent="0.2">
      <c r="A24" s="1"/>
      <c r="B24" s="1" t="s">
        <v>55</v>
      </c>
      <c r="C24" s="2">
        <f>'Sheet 1'!B24</f>
        <v>1.0000000000000001E-9</v>
      </c>
      <c r="D24" s="2">
        <f>'Sheet 1'!C24</f>
        <v>4.0130589999999999E-9</v>
      </c>
      <c r="E24" s="2">
        <f>'Sheet 1'!D24</f>
        <v>2.0694410000000002E-8</v>
      </c>
      <c r="F24" s="1">
        <f>ROUND('Sheet 1'!E24, 3)</f>
        <v>-1.208</v>
      </c>
      <c r="G24" s="1">
        <f>ROUND('Sheet 1'!F24, 2)</f>
        <v>6.42</v>
      </c>
      <c r="H24" s="1">
        <f>ROUND('Sheet 1'!G24, 2)</f>
        <v>9.42</v>
      </c>
    </row>
    <row r="25" spans="1:8" x14ac:dyDescent="0.2">
      <c r="A25" s="1"/>
      <c r="B25" s="1" t="s">
        <v>57</v>
      </c>
      <c r="C25" s="2">
        <f>'Sheet 1'!B25</f>
        <v>1.0000000000000001E-9</v>
      </c>
      <c r="D25" s="2">
        <f>'Sheet 1'!C25</f>
        <v>1.722197E-9</v>
      </c>
      <c r="E25" s="2">
        <f>'Sheet 1'!D25</f>
        <v>2.2477200000000001E-8</v>
      </c>
      <c r="F25" s="1">
        <f>ROUND('Sheet 1'!E25, 3)</f>
        <v>-0.59499999999999997</v>
      </c>
      <c r="G25" s="1">
        <f>ROUND('Sheet 1'!F25, 2)</f>
        <v>5.19</v>
      </c>
      <c r="H25" s="1">
        <f>ROUND('Sheet 1'!G25, 2)</f>
        <v>17.190000000000001</v>
      </c>
    </row>
    <row r="26" spans="1:8" x14ac:dyDescent="0.2">
      <c r="A26" s="1" t="s">
        <v>47</v>
      </c>
      <c r="B26" s="1" t="s">
        <v>48</v>
      </c>
      <c r="C26" s="1">
        <f>ROUND('Sheet 1'!B26, 3)</f>
        <v>8.1000000000000003E-2</v>
      </c>
      <c r="D26" s="1">
        <f>ROUND('Sheet 1'!C26, 3)</f>
        <v>2.1999999999999999E-2</v>
      </c>
      <c r="E26" s="1">
        <f>ROUND('Sheet 1'!D26, 3)</f>
        <v>0.111</v>
      </c>
      <c r="F26" s="1">
        <f>ROUND('Sheet 1'!E26, 3)</f>
        <v>-15.725</v>
      </c>
      <c r="G26" s="1">
        <f>ROUND('Sheet 1'!F26, 2)</f>
        <v>35.450000000000003</v>
      </c>
      <c r="H26" s="1">
        <f>ROUND('Sheet 1'!G26, 2)</f>
        <v>37.450000000000003</v>
      </c>
    </row>
    <row r="27" spans="1:8" x14ac:dyDescent="0.2">
      <c r="A27" s="1"/>
      <c r="B27" s="1" t="s">
        <v>49</v>
      </c>
      <c r="C27" s="1">
        <f>ROUND('Sheet 1'!B27, 3)</f>
        <v>4.2999999999999997E-2</v>
      </c>
      <c r="D27" s="1">
        <f>ROUND('Sheet 1'!C27, 3)</f>
        <v>2.8000000000000001E-2</v>
      </c>
      <c r="E27" s="1">
        <f>ROUND('Sheet 1'!D27, 3)</f>
        <v>7.0000000000000007E-2</v>
      </c>
      <c r="F27" s="1">
        <f>ROUND('Sheet 1'!E27, 3)</f>
        <v>-18.878</v>
      </c>
      <c r="G27" s="1">
        <f>ROUND('Sheet 1'!F27, 2)</f>
        <v>41.76</v>
      </c>
      <c r="H27" s="1">
        <f>ROUND('Sheet 1'!G27, 2)</f>
        <v>42.85</v>
      </c>
    </row>
    <row r="28" spans="1:8" x14ac:dyDescent="0.2">
      <c r="A28" s="1"/>
      <c r="B28" s="1" t="s">
        <v>51</v>
      </c>
      <c r="C28" s="1">
        <f>ROUND('Sheet 1'!B28, 3)</f>
        <v>4.1000000000000002E-2</v>
      </c>
      <c r="D28" s="1">
        <f>ROUND('Sheet 1'!C28, 3)</f>
        <v>2.5000000000000001E-2</v>
      </c>
      <c r="E28" s="1">
        <f>ROUND('Sheet 1'!D28, 3)</f>
        <v>6.4000000000000001E-2</v>
      </c>
      <c r="F28" s="1">
        <f>ROUND('Sheet 1'!E28, 3)</f>
        <v>-34.92</v>
      </c>
      <c r="G28" s="1">
        <f>ROUND('Sheet 1'!F28, 2)</f>
        <v>73.84</v>
      </c>
      <c r="H28" s="1">
        <f>ROUND('Sheet 1'!G28, 2)</f>
        <v>74.34</v>
      </c>
    </row>
    <row r="29" spans="1:8" x14ac:dyDescent="0.2">
      <c r="A29" s="1"/>
      <c r="B29" s="1" t="s">
        <v>54</v>
      </c>
      <c r="C29" s="1">
        <f>ROUND('Sheet 1'!B29, 3)</f>
        <v>4.1000000000000002E-2</v>
      </c>
      <c r="D29" s="1">
        <f>ROUND('Sheet 1'!C29, 3)</f>
        <v>2.3E-2</v>
      </c>
      <c r="E29" s="1">
        <f>ROUND('Sheet 1'!D29, 3)</f>
        <v>4.8000000000000001E-2</v>
      </c>
      <c r="F29" s="1">
        <f>ROUND('Sheet 1'!E29, 3)</f>
        <v>-30.21</v>
      </c>
      <c r="G29" s="1">
        <f>ROUND('Sheet 1'!F29, 2)</f>
        <v>64.42</v>
      </c>
      <c r="H29" s="1">
        <f>ROUND('Sheet 1'!G29, 2)</f>
        <v>64.97</v>
      </c>
    </row>
    <row r="30" spans="1:8" x14ac:dyDescent="0.2">
      <c r="A30" s="1"/>
      <c r="B30" s="1" t="s">
        <v>52</v>
      </c>
      <c r="C30" s="1">
        <f>ROUND('Sheet 1'!B30, 3)</f>
        <v>3.5000000000000003E-2</v>
      </c>
      <c r="D30" s="1">
        <f>ROUND('Sheet 1'!C30, 3)</f>
        <v>2.5000000000000001E-2</v>
      </c>
      <c r="E30" s="1">
        <f>ROUND('Sheet 1'!D30, 3)</f>
        <v>3.9E-2</v>
      </c>
      <c r="F30" s="1">
        <f>ROUND('Sheet 1'!E30, 3)</f>
        <v>-118.83</v>
      </c>
      <c r="G30" s="1">
        <f>ROUND('Sheet 1'!F30, 2)</f>
        <v>241.66</v>
      </c>
      <c r="H30" s="1">
        <f>ROUND('Sheet 1'!G30, 2)</f>
        <v>241.78</v>
      </c>
    </row>
    <row r="31" spans="1:8" x14ac:dyDescent="0.2">
      <c r="A31" s="1"/>
      <c r="B31" s="1" t="s">
        <v>58</v>
      </c>
      <c r="C31" s="1">
        <f>ROUND('Sheet 1'!B31, 3)</f>
        <v>0.03</v>
      </c>
      <c r="D31" s="1">
        <f>ROUND('Sheet 1'!C31, 3)</f>
        <v>1.7000000000000001E-2</v>
      </c>
      <c r="E31" s="1">
        <f>ROUND('Sheet 1'!D31, 3)</f>
        <v>4.5999999999999999E-2</v>
      </c>
      <c r="F31" s="1">
        <f>ROUND('Sheet 1'!E31, 3)</f>
        <v>-11.016999999999999</v>
      </c>
      <c r="G31" s="1">
        <f>ROUND('Sheet 1'!F31, 2)</f>
        <v>26.03</v>
      </c>
      <c r="H31" s="1">
        <f>ROUND('Sheet 1'!G31, 2)</f>
        <v>28.03</v>
      </c>
    </row>
    <row r="32" spans="1:8" x14ac:dyDescent="0.2">
      <c r="A32" s="1"/>
      <c r="B32" s="1" t="s">
        <v>50</v>
      </c>
      <c r="C32" s="1">
        <f>ROUND('Sheet 1'!B32, 3)</f>
        <v>2.5000000000000001E-2</v>
      </c>
      <c r="D32" s="1">
        <f>ROUND('Sheet 1'!C32, 3)</f>
        <v>1.4E-2</v>
      </c>
      <c r="E32" s="1">
        <f>ROUND('Sheet 1'!D32, 3)</f>
        <v>3.7999999999999999E-2</v>
      </c>
      <c r="F32" s="1">
        <f>ROUND('Sheet 1'!E32, 3)</f>
        <v>-23.771000000000001</v>
      </c>
      <c r="G32" s="1">
        <f>ROUND('Sheet 1'!F32, 2)</f>
        <v>51.54</v>
      </c>
      <c r="H32" s="1">
        <f>ROUND('Sheet 1'!G32, 2)</f>
        <v>52.17</v>
      </c>
    </row>
    <row r="33" spans="1:8" x14ac:dyDescent="0.2">
      <c r="A33" s="1"/>
      <c r="B33" s="1" t="s">
        <v>57</v>
      </c>
      <c r="C33" s="1">
        <f>ROUND('Sheet 1'!B33, 3)</f>
        <v>5.0000000000000001E-3</v>
      </c>
      <c r="D33" s="1">
        <f>ROUND('Sheet 1'!C33, 3)</f>
        <v>1E-3</v>
      </c>
      <c r="E33" s="1">
        <f>ROUND('Sheet 1'!D33, 3)</f>
        <v>1.2E-2</v>
      </c>
      <c r="F33" s="1">
        <f>ROUND('Sheet 1'!E33, 3)</f>
        <v>-3.43</v>
      </c>
      <c r="G33" s="1">
        <f>ROUND('Sheet 1'!F33, 2)</f>
        <v>10.86</v>
      </c>
      <c r="H33" s="1">
        <f>ROUND('Sheet 1'!G33, 2)</f>
        <v>22.86</v>
      </c>
    </row>
    <row r="34" spans="1:8" x14ac:dyDescent="0.2">
      <c r="A34" s="1"/>
      <c r="B34" s="1" t="s">
        <v>53</v>
      </c>
      <c r="C34" s="2">
        <f>'Sheet 1'!B34</f>
        <v>1.0000000000000001E-9</v>
      </c>
      <c r="D34" s="2">
        <f>'Sheet 1'!C34</f>
        <v>4.7451710000000004E-9</v>
      </c>
      <c r="E34" s="2">
        <f>'Sheet 1'!D34</f>
        <v>1.9929899999999998E-8</v>
      </c>
      <c r="F34" s="1">
        <f>ROUND('Sheet 1'!E34, 3)</f>
        <v>-2.1259999999999999</v>
      </c>
      <c r="G34" s="1">
        <f>ROUND('Sheet 1'!F34, 2)</f>
        <v>8.25</v>
      </c>
      <c r="H34" s="1">
        <f>ROUND('Sheet 1'!G34, 2)</f>
        <v>10.65</v>
      </c>
    </row>
    <row r="35" spans="1:8" x14ac:dyDescent="0.2">
      <c r="A35" s="1"/>
      <c r="B35" s="1" t="s">
        <v>55</v>
      </c>
      <c r="C35" s="2">
        <f>'Sheet 1'!B35</f>
        <v>1.0000000000000001E-9</v>
      </c>
      <c r="D35" s="2">
        <f>'Sheet 1'!C35</f>
        <v>2.467413E-9</v>
      </c>
      <c r="E35" s="2">
        <f>'Sheet 1'!D35</f>
        <v>1.536434E-8</v>
      </c>
      <c r="F35" s="1">
        <f>ROUND('Sheet 1'!E35, 3)</f>
        <v>-5.8479999999999999</v>
      </c>
      <c r="G35" s="1">
        <f>ROUND('Sheet 1'!F35, 2)</f>
        <v>15.7</v>
      </c>
      <c r="H35" s="1">
        <f>ROUND('Sheet 1'!G35, 2)</f>
        <v>18.7</v>
      </c>
    </row>
    <row r="36" spans="1:8" x14ac:dyDescent="0.2">
      <c r="A36" s="1"/>
      <c r="B36" s="1" t="s">
        <v>56</v>
      </c>
      <c r="C36" s="2">
        <f>'Sheet 1'!B36</f>
        <v>1.0000000000000001E-9</v>
      </c>
      <c r="D36" s="2">
        <f>'Sheet 1'!C36</f>
        <v>3.7159720000000002E-9</v>
      </c>
      <c r="E36" s="2">
        <f>'Sheet 1'!D36</f>
        <v>1.759472E-8</v>
      </c>
      <c r="F36" s="1">
        <f>ROUND('Sheet 1'!E36, 3)</f>
        <v>1.504</v>
      </c>
      <c r="G36" s="1">
        <f>ROUND('Sheet 1'!F36, 2)</f>
        <v>0.99</v>
      </c>
      <c r="H36" s="1">
        <f>ROUND('Sheet 1'!G36, 2)</f>
        <v>3.99</v>
      </c>
    </row>
    <row r="37" spans="1:8" x14ac:dyDescent="0.2">
      <c r="A37" s="1"/>
      <c r="B37" s="1" t="s">
        <v>59</v>
      </c>
      <c r="C37" s="2">
        <f>'Sheet 1'!B37</f>
        <v>1.0000000000000001E-9</v>
      </c>
      <c r="D37" s="2">
        <f>'Sheet 1'!C37</f>
        <v>4.7383189999999999E-9</v>
      </c>
      <c r="E37" s="2">
        <f>'Sheet 1'!D37</f>
        <v>1.3952719999999999E-8</v>
      </c>
      <c r="F37" s="1">
        <f>ROUND('Sheet 1'!E37, 3)</f>
        <v>-5.4539999999999997</v>
      </c>
      <c r="G37" s="1">
        <f>ROUND('Sheet 1'!F37, 2)</f>
        <v>14.91</v>
      </c>
      <c r="H37" s="1">
        <f>ROUND('Sheet 1'!G37, 2)</f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phgaem</dc:creator>
  <cp:lastModifiedBy>Gaem, Paulo Henrique</cp:lastModifiedBy>
  <dcterms:created xsi:type="dcterms:W3CDTF">2025-10-02T18:17:37Z</dcterms:created>
  <dcterms:modified xsi:type="dcterms:W3CDTF">2025-10-07T00:40:12Z</dcterms:modified>
</cp:coreProperties>
</file>