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gaem/Documents/Projetos/3_PhD/1_Project/Eugenia Biogeography/results/2_biogeobears/"/>
    </mc:Choice>
  </mc:AlternateContent>
  <xr:revisionPtr revIDLastSave="0" documentId="13_ncr:1_{03587922-1EC6-AA4B-BE30-F7DEABA04DCC}" xr6:coauthVersionLast="47" xr6:coauthVersionMax="47" xr10:uidLastSave="{00000000-0000-0000-0000-000000000000}"/>
  <bookViews>
    <workbookView xWindow="-4180" yWindow="-20980" windowWidth="38400" windowHeight="20980" xr2:uid="{83BC1B52-1C31-EE43-86F4-4717F74CA2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8" i="1"/>
  <c r="J29" i="1"/>
  <c r="J30" i="1"/>
  <c r="J31" i="1"/>
  <c r="J32" i="1"/>
  <c r="J16" i="1"/>
  <c r="J17" i="1"/>
  <c r="J18" i="1"/>
  <c r="J19" i="1"/>
  <c r="J21" i="1"/>
  <c r="J22" i="1"/>
  <c r="J23" i="1"/>
  <c r="J24" i="1"/>
  <c r="J25" i="1"/>
  <c r="J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30" i="1"/>
  <c r="I31" i="1"/>
  <c r="I32" i="1"/>
  <c r="I21" i="1"/>
  <c r="I22" i="1"/>
  <c r="I23" i="1"/>
  <c r="I24" i="1"/>
  <c r="I25" i="1"/>
  <c r="I26" i="1"/>
  <c r="I27" i="1"/>
  <c r="I28" i="1"/>
  <c r="I29" i="1"/>
  <c r="I13" i="1"/>
  <c r="I14" i="1"/>
  <c r="I15" i="1"/>
  <c r="I16" i="1"/>
  <c r="I17" i="1"/>
  <c r="I18" i="1"/>
  <c r="I19" i="1"/>
  <c r="I3" i="1"/>
  <c r="I4" i="1"/>
  <c r="I5" i="1"/>
  <c r="I6" i="1"/>
  <c r="I7" i="1"/>
  <c r="I8" i="1"/>
  <c r="I9" i="1"/>
  <c r="I10" i="1"/>
  <c r="I11" i="1"/>
  <c r="I12" i="1"/>
  <c r="I2" i="1"/>
  <c r="H19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4" i="1"/>
  <c r="H5" i="1"/>
  <c r="D5" i="1" s="1"/>
  <c r="H6" i="1"/>
  <c r="H7" i="1"/>
  <c r="H8" i="1"/>
  <c r="H9" i="1"/>
  <c r="D9" i="1" s="1"/>
  <c r="H10" i="1"/>
  <c r="H11" i="1"/>
  <c r="D11" i="1" s="1"/>
  <c r="H12" i="1"/>
  <c r="H13" i="1"/>
  <c r="H14" i="1"/>
  <c r="H15" i="1"/>
  <c r="H16" i="1"/>
  <c r="H17" i="1"/>
  <c r="H18" i="1"/>
  <c r="H2" i="1"/>
  <c r="D21" i="1" l="1"/>
  <c r="D32" i="1"/>
  <c r="D24" i="1"/>
  <c r="D15" i="1"/>
  <c r="D22" i="1"/>
  <c r="D12" i="1"/>
  <c r="D13" i="1"/>
  <c r="D8" i="1"/>
  <c r="D2" i="1"/>
  <c r="D23" i="1"/>
  <c r="D31" i="1"/>
  <c r="D10" i="1"/>
  <c r="D28" i="1"/>
  <c r="D7" i="1"/>
  <c r="D14" i="1"/>
  <c r="D3" i="1"/>
  <c r="D27" i="1"/>
  <c r="D26" i="1"/>
  <c r="D4" i="1"/>
  <c r="D19" i="1"/>
  <c r="D29" i="1"/>
  <c r="D18" i="1"/>
  <c r="D17" i="1"/>
  <c r="D6" i="1"/>
  <c r="D30" i="1"/>
  <c r="D25" i="1"/>
  <c r="D16" i="1"/>
</calcChain>
</file>

<file path=xl/sharedStrings.xml><?xml version="1.0" encoding="utf-8"?>
<sst xmlns="http://schemas.openxmlformats.org/spreadsheetml/2006/main" count="167" uniqueCount="80">
  <si>
    <t>Node</t>
  </si>
  <si>
    <t>Area</t>
  </si>
  <si>
    <t>Group</t>
  </si>
  <si>
    <t>Age (CI 95%)</t>
  </si>
  <si>
    <t>Geological time</t>
  </si>
  <si>
    <t>Event type</t>
  </si>
  <si>
    <t>Eugeniinae</t>
  </si>
  <si>
    <t>-</t>
  </si>
  <si>
    <t>origin</t>
  </si>
  <si>
    <t>Myrcianthes</t>
  </si>
  <si>
    <t>Myrcianthes fragrans</t>
  </si>
  <si>
    <t>range expansion</t>
  </si>
  <si>
    <t>Event mode</t>
  </si>
  <si>
    <t>Hexachlamys</t>
  </si>
  <si>
    <t>Pseudeugenia</t>
  </si>
  <si>
    <t>Pilothecium</t>
  </si>
  <si>
    <t>Phyllocalyx</t>
  </si>
  <si>
    <t>Schizocalomyrtus</t>
  </si>
  <si>
    <t>Racemosae</t>
  </si>
  <si>
    <t>Speciosae</t>
  </si>
  <si>
    <t>Excelsae</t>
  </si>
  <si>
    <t>Jossinia</t>
  </si>
  <si>
    <t>Umbellatae</t>
  </si>
  <si>
    <t>Eugenia ligustrina</t>
  </si>
  <si>
    <t>range shift</t>
  </si>
  <si>
    <t>Eugenia punicifolia</t>
  </si>
  <si>
    <t>Eugenia talbotii</t>
  </si>
  <si>
    <t>Eugenia coronata</t>
  </si>
  <si>
    <t>Eugenia roseopetiolata</t>
  </si>
  <si>
    <t>Eugenia reinwardtiana</t>
  </si>
  <si>
    <t>node</t>
  </si>
  <si>
    <t>CAheight_mean</t>
  </si>
  <si>
    <t>CAheight_0.95_HPD_lower</t>
  </si>
  <si>
    <t>CAheight_0.95_HPD_upper</t>
  </si>
  <si>
    <t>Middle Miocene</t>
  </si>
  <si>
    <t>Early Oligocene</t>
  </si>
  <si>
    <t>Early Miocene</t>
  </si>
  <si>
    <t>Early Oligocene (LB Late Eocene)</t>
  </si>
  <si>
    <t>Early Miocene (LB Early Oligocene, UB Middle Miocene)</t>
  </si>
  <si>
    <t>Middle Miocene (LB Early Miocene, UB Late Miocene)</t>
  </si>
  <si>
    <t>Late Oligocene (LB Early Oligocene, UB Early Miocene)</t>
  </si>
  <si>
    <t>Early Miocene (LB Early Oligocene)</t>
  </si>
  <si>
    <t>Early Miocene (LB Late Oligocene)</t>
  </si>
  <si>
    <t>Early Miocene (UB Middle Miocene)</t>
  </si>
  <si>
    <t>Late Oligocene (UB Early Miocene)</t>
  </si>
  <si>
    <t>Middle Miocene (UB Late Miocene)</t>
  </si>
  <si>
    <t>Late Miocene (LB Middle Miocene)</t>
  </si>
  <si>
    <t xml:space="preserve">	Middle Miocene (UB in Late Miocene)</t>
  </si>
  <si>
    <t>Middle Miocene (LB Early Miocene)</t>
  </si>
  <si>
    <t>Eugenia egensis</t>
  </si>
  <si>
    <t>4.8 (7.4–2.3)</t>
  </si>
  <si>
    <t>Early Pliocene (LB in Late Miocene, UB in Pleistocene)</t>
  </si>
  <si>
    <t>South America → Central America + Caribbean</t>
  </si>
  <si>
    <t>South America → Caribbean</t>
  </si>
  <si>
    <t>South America → Central America</t>
  </si>
  <si>
    <t>Caribbean → Pacific Islands</t>
  </si>
  <si>
    <t>South America → Africa</t>
  </si>
  <si>
    <t>Caribbean → Africa</t>
  </si>
  <si>
    <t>Africa → Madagascar</t>
  </si>
  <si>
    <t>Madagascar → New Caledonia</t>
  </si>
  <si>
    <t>Africa → South Asia</t>
  </si>
  <si>
    <t>South Asia → South-East Asia + the Malay Archipelago + Australia</t>
  </si>
  <si>
    <t>Africa → Mascarene Islands</t>
  </si>
  <si>
    <t>LDDE or short-range trans-marine jump</t>
  </si>
  <si>
    <t>short-range trans-marine jump</t>
  </si>
  <si>
    <t>LDDE</t>
  </si>
  <si>
    <r>
      <rPr>
        <i/>
        <sz val="12"/>
        <color theme="1"/>
        <rFont val="Source Sans Pro Regular"/>
      </rPr>
      <t xml:space="preserve">Eugenia </t>
    </r>
    <r>
      <rPr>
        <sz val="12"/>
        <color theme="1"/>
        <rFont val="Source Sans Pro Regular"/>
      </rPr>
      <t>(genus)</t>
    </r>
  </si>
  <si>
    <r>
      <rPr>
        <i/>
        <sz val="12"/>
        <color theme="1"/>
        <rFont val="Source Sans Pro Regular"/>
      </rPr>
      <t xml:space="preserve">Eugenia </t>
    </r>
    <r>
      <rPr>
        <sz val="12"/>
        <color theme="1"/>
        <rFont val="Source Sans Pro Regular"/>
      </rPr>
      <t>(section)</t>
    </r>
  </si>
  <si>
    <r>
      <rPr>
        <i/>
        <sz val="12"/>
        <color theme="1"/>
        <rFont val="Source Sans Pro Regular"/>
      </rPr>
      <t>Eugenia confusa</t>
    </r>
    <r>
      <rPr>
        <sz val="12"/>
        <color theme="1"/>
        <rFont val="Source Sans Pro Regular"/>
      </rPr>
      <t xml:space="preserve"> clade</t>
    </r>
  </si>
  <si>
    <r>
      <rPr>
        <i/>
        <sz val="12"/>
        <color theme="1"/>
        <rFont val="Source Sans Pro Regular"/>
      </rPr>
      <t xml:space="preserve">Eugenia linearis </t>
    </r>
    <r>
      <rPr>
        <sz val="12"/>
        <color theme="1"/>
        <rFont val="Source Sans Pro Regular"/>
      </rPr>
      <t>clade</t>
    </r>
  </si>
  <si>
    <r>
      <rPr>
        <i/>
        <sz val="12"/>
        <color theme="1"/>
        <rFont val="Source Sans Pro Regular"/>
      </rPr>
      <t>Eugenia dictyophylla</t>
    </r>
    <r>
      <rPr>
        <sz val="12"/>
        <color theme="1"/>
        <rFont val="Source Sans Pro Regular"/>
      </rPr>
      <t xml:space="preserve"> clade</t>
    </r>
  </si>
  <si>
    <r>
      <rPr>
        <i/>
        <sz val="12"/>
        <color theme="1"/>
        <rFont val="Source Sans Pro Regular"/>
      </rPr>
      <t>Eugenia pacifica</t>
    </r>
    <r>
      <rPr>
        <sz val="12"/>
        <color theme="1"/>
        <rFont val="Source Sans Pro Regular"/>
      </rPr>
      <t xml:space="preserve"> clade</t>
    </r>
  </si>
  <si>
    <r>
      <t xml:space="preserve">"Core" </t>
    </r>
    <r>
      <rPr>
        <i/>
        <sz val="12"/>
        <color theme="1"/>
        <rFont val="Source Sans Pro Regular"/>
      </rPr>
      <t>Jossinia</t>
    </r>
  </si>
  <si>
    <r>
      <rPr>
        <i/>
        <sz val="12"/>
        <color theme="1"/>
        <rFont val="Source Sans Pro Regular"/>
      </rPr>
      <t>Eugenia tropophylla</t>
    </r>
    <r>
      <rPr>
        <sz val="12"/>
        <color theme="1"/>
        <rFont val="Source Sans Pro Regular"/>
      </rPr>
      <t xml:space="preserve"> clade</t>
    </r>
  </si>
  <si>
    <r>
      <rPr>
        <i/>
        <sz val="12"/>
        <color theme="1"/>
        <rFont val="Source Sans Pro Regular"/>
      </rPr>
      <t>Eugenia brongniartiana</t>
    </r>
    <r>
      <rPr>
        <sz val="12"/>
        <color theme="1"/>
        <rFont val="Source Sans Pro Regular"/>
      </rPr>
      <t xml:space="preserve"> subclade</t>
    </r>
  </si>
  <si>
    <r>
      <rPr>
        <i/>
        <sz val="12"/>
        <color theme="1"/>
        <rFont val="Source Sans Pro Regular"/>
      </rPr>
      <t xml:space="preserve">Eugenia bojeri </t>
    </r>
    <r>
      <rPr>
        <sz val="12"/>
        <color theme="1"/>
        <rFont val="Source Sans Pro Regular"/>
      </rPr>
      <t>clade</t>
    </r>
  </si>
  <si>
    <r>
      <rPr>
        <i/>
        <sz val="12"/>
        <color theme="1"/>
        <rFont val="Source Sans Pro Regular"/>
      </rPr>
      <t xml:space="preserve">Eugenia calcadensis </t>
    </r>
    <r>
      <rPr>
        <sz val="12"/>
        <color theme="1"/>
        <rFont val="Source Sans Pro Regular"/>
      </rPr>
      <t>clade</t>
    </r>
  </si>
  <si>
    <t>probably overland dispersal; less likely LDDE</t>
  </si>
  <si>
    <t>probably overland dispersal; less likely short-range trans-marine jump</t>
  </si>
  <si>
    <t>combination of overland and trans-marine dispersals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</si>
</sst>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Source Sans Pro Regular"/>
    </font>
    <font>
      <sz val="12"/>
      <color theme="0" tint="-0.499984740745262"/>
      <name val="Source Sans Pro Regular"/>
    </font>
    <font>
      <i/>
      <sz val="12"/>
      <color theme="1"/>
      <name val="Source Sans Pr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quotePrefix="1" applyFont="1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ADA0-9BC3-3640-88BA-0F551D367BC7}">
  <dimension ref="A1:J32"/>
  <sheetViews>
    <sheetView tabSelected="1" topLeftCell="A25" zoomScale="163" workbookViewId="0">
      <selection activeCell="G32" sqref="A1:G32"/>
    </sheetView>
  </sheetViews>
  <sheetFormatPr baseColWidth="10" defaultRowHeight="15" x14ac:dyDescent="0.2"/>
  <cols>
    <col min="1" max="1" width="5.5" style="2" bestFit="1" customWidth="1"/>
    <col min="2" max="2" width="24.83203125" style="3" bestFit="1" customWidth="1"/>
    <col min="3" max="3" width="29.6640625" style="2" customWidth="1"/>
    <col min="4" max="4" width="14.33203125" style="2" bestFit="1" customWidth="1"/>
    <col min="5" max="5" width="30.33203125" style="4" customWidth="1"/>
    <col min="6" max="6" width="15.1640625" style="2" bestFit="1" customWidth="1"/>
    <col min="7" max="7" width="22" style="4" customWidth="1"/>
    <col min="8" max="16384" width="10.83203125" style="3"/>
  </cols>
  <sheetData>
    <row r="1" spans="1:10" ht="16" x14ac:dyDescent="0.2">
      <c r="A1" s="2" t="s">
        <v>0</v>
      </c>
      <c r="B1" s="3" t="s">
        <v>2</v>
      </c>
      <c r="C1" s="2" t="s">
        <v>1</v>
      </c>
      <c r="D1" s="2" t="s">
        <v>3</v>
      </c>
      <c r="E1" s="4" t="s">
        <v>4</v>
      </c>
      <c r="F1" s="2" t="s">
        <v>5</v>
      </c>
      <c r="G1" s="4" t="s">
        <v>12</v>
      </c>
    </row>
    <row r="2" spans="1:10" ht="16" x14ac:dyDescent="0.2">
      <c r="A2" s="2">
        <v>267</v>
      </c>
      <c r="B2" s="3" t="s">
        <v>6</v>
      </c>
      <c r="C2" s="2" t="s">
        <v>7</v>
      </c>
      <c r="D2" s="2" t="str">
        <f>H2&amp;" ("&amp;J2&amp;"–"&amp;I2&amp;")"</f>
        <v>33.2 (36.1–30.2)</v>
      </c>
      <c r="E2" s="4" t="s">
        <v>37</v>
      </c>
      <c r="F2" s="2" t="s">
        <v>8</v>
      </c>
      <c r="G2" s="4" t="s">
        <v>7</v>
      </c>
      <c r="H2" s="5">
        <f>ROUND(VLOOKUP(A2, Sheet2!$A$2:$D$30, 2, FALSE),1)</f>
        <v>33.200000000000003</v>
      </c>
      <c r="I2" s="5">
        <f>ROUND(VLOOKUP(A2, Sheet2!$A$2:$D$30, 3, FALSE),1)</f>
        <v>30.2</v>
      </c>
      <c r="J2" s="5">
        <f>ROUND(VLOOKUP(A2, Sheet2!$A$2:$D$30, 4, FALSE),1)</f>
        <v>36.1</v>
      </c>
    </row>
    <row r="3" spans="1:10" ht="32" x14ac:dyDescent="0.2">
      <c r="A3" s="2">
        <v>523</v>
      </c>
      <c r="B3" s="7" t="s">
        <v>9</v>
      </c>
      <c r="C3" s="2" t="s">
        <v>7</v>
      </c>
      <c r="D3" s="2" t="str">
        <f t="shared" ref="D3:D22" si="0">H3&amp;" ("&amp;J3&amp;"–"&amp;I3&amp;")"</f>
        <v>21.7 (28.1–15.5)</v>
      </c>
      <c r="E3" s="4" t="s">
        <v>38</v>
      </c>
      <c r="F3" s="2" t="s">
        <v>8</v>
      </c>
      <c r="G3" s="4" t="s">
        <v>7</v>
      </c>
      <c r="H3" s="5">
        <f>ROUND(VLOOKUP(A3, Sheet2!$A$2:$D$30, 2, FALSE),1)</f>
        <v>21.7</v>
      </c>
      <c r="I3" s="5">
        <f>ROUND(VLOOKUP(A3, Sheet2!$A$2:$D$30, 3, FALSE),1)</f>
        <v>15.5</v>
      </c>
      <c r="J3" s="5">
        <f>ROUND(VLOOKUP(A3, Sheet2!$A$2:$D$30, 4, FALSE),1)</f>
        <v>28.1</v>
      </c>
    </row>
    <row r="4" spans="1:10" ht="32" x14ac:dyDescent="0.2">
      <c r="A4" s="2">
        <v>531</v>
      </c>
      <c r="B4" s="7" t="s">
        <v>10</v>
      </c>
      <c r="C4" s="4" t="s">
        <v>52</v>
      </c>
      <c r="D4" s="2" t="str">
        <f t="shared" si="0"/>
        <v>12.6 (19.8–6)</v>
      </c>
      <c r="E4" s="4" t="s">
        <v>39</v>
      </c>
      <c r="F4" s="2" t="s">
        <v>11</v>
      </c>
      <c r="G4" s="4" t="s">
        <v>63</v>
      </c>
      <c r="H4" s="5">
        <f>ROUND(VLOOKUP(A4, Sheet2!$A$2:$D$30, 2, FALSE),1)</f>
        <v>12.6</v>
      </c>
      <c r="I4" s="5">
        <f>ROUND(VLOOKUP(A4, Sheet2!$A$2:$D$30, 3, FALSE),1)</f>
        <v>6</v>
      </c>
      <c r="J4" s="5">
        <f>ROUND(VLOOKUP(A4, Sheet2!$A$2:$D$30, 4, FALSE),1)</f>
        <v>19.8</v>
      </c>
    </row>
    <row r="5" spans="1:10" ht="16" x14ac:dyDescent="0.2">
      <c r="A5" s="2">
        <v>268</v>
      </c>
      <c r="B5" s="3" t="s">
        <v>66</v>
      </c>
      <c r="C5" s="2" t="s">
        <v>7</v>
      </c>
      <c r="D5" s="2" t="str">
        <f t="shared" si="0"/>
        <v>30.8 (33.6–27.8)</v>
      </c>
      <c r="E5" s="6" t="s">
        <v>35</v>
      </c>
      <c r="F5" s="2" t="s">
        <v>8</v>
      </c>
      <c r="G5" s="4" t="s">
        <v>7</v>
      </c>
      <c r="H5" s="5">
        <f>ROUND(VLOOKUP(A5, Sheet2!$A$2:$D$30, 2, FALSE),1)</f>
        <v>30.8</v>
      </c>
      <c r="I5" s="5">
        <f>ROUND(VLOOKUP(A5, Sheet2!$A$2:$D$30, 3, FALSE),1)</f>
        <v>27.8</v>
      </c>
      <c r="J5" s="5">
        <f>ROUND(VLOOKUP(A5, Sheet2!$A$2:$D$30, 4, FALSE),1)</f>
        <v>33.6</v>
      </c>
    </row>
    <row r="6" spans="1:10" ht="32" x14ac:dyDescent="0.2">
      <c r="A6" s="2">
        <v>520</v>
      </c>
      <c r="B6" s="7" t="s">
        <v>13</v>
      </c>
      <c r="C6" s="2" t="s">
        <v>7</v>
      </c>
      <c r="D6" s="2" t="str">
        <f t="shared" si="0"/>
        <v>25.7 (30.4–20.6)</v>
      </c>
      <c r="E6" s="4" t="s">
        <v>40</v>
      </c>
      <c r="F6" s="2" t="s">
        <v>8</v>
      </c>
      <c r="G6" s="4" t="s">
        <v>7</v>
      </c>
      <c r="H6" s="5">
        <f>ROUND(VLOOKUP(A6, Sheet2!$A$2:$D$30, 2, FALSE),1)</f>
        <v>25.7</v>
      </c>
      <c r="I6" s="5">
        <f>ROUND(VLOOKUP(A6, Sheet2!$A$2:$D$30, 3, FALSE),1)</f>
        <v>20.6</v>
      </c>
      <c r="J6" s="5">
        <f>ROUND(VLOOKUP(A6, Sheet2!$A$2:$D$30, 4, FALSE),1)</f>
        <v>30.4</v>
      </c>
    </row>
    <row r="7" spans="1:10" ht="16" x14ac:dyDescent="0.2">
      <c r="A7" s="2">
        <v>507</v>
      </c>
      <c r="B7" s="7" t="s">
        <v>14</v>
      </c>
      <c r="C7" s="2" t="s">
        <v>7</v>
      </c>
      <c r="D7" s="2" t="str">
        <f t="shared" si="0"/>
        <v>23 (28.2–18.4)</v>
      </c>
      <c r="E7" s="4" t="s">
        <v>41</v>
      </c>
      <c r="F7" s="2" t="s">
        <v>8</v>
      </c>
      <c r="G7" s="4" t="s">
        <v>7</v>
      </c>
      <c r="H7" s="5">
        <f>ROUND(VLOOKUP(A7, Sheet2!$A$2:$D$30, 2, FALSE),1)</f>
        <v>23</v>
      </c>
      <c r="I7" s="5">
        <f>ROUND(VLOOKUP(A7, Sheet2!$A$2:$D$30, 3, FALSE),1)</f>
        <v>18.399999999999999</v>
      </c>
      <c r="J7" s="5">
        <f>ROUND(VLOOKUP(A7, Sheet2!$A$2:$D$30, 4, FALSE),1)</f>
        <v>28.2</v>
      </c>
    </row>
    <row r="8" spans="1:10" ht="16" x14ac:dyDescent="0.2">
      <c r="A8" s="2">
        <v>500</v>
      </c>
      <c r="B8" s="3" t="s">
        <v>67</v>
      </c>
      <c r="C8" s="2" t="s">
        <v>7</v>
      </c>
      <c r="D8" s="2" t="str">
        <f t="shared" si="0"/>
        <v>21.7 (26.2–16.8)</v>
      </c>
      <c r="E8" s="4" t="s">
        <v>42</v>
      </c>
      <c r="F8" s="2" t="s">
        <v>8</v>
      </c>
      <c r="G8" s="4" t="s">
        <v>7</v>
      </c>
      <c r="H8" s="5">
        <f>ROUND(VLOOKUP(A8, Sheet2!$A$2:$D$30, 2, FALSE),1)</f>
        <v>21.7</v>
      </c>
      <c r="I8" s="5">
        <f>ROUND(VLOOKUP(A8, Sheet2!$A$2:$D$30, 3, FALSE),1)</f>
        <v>16.8</v>
      </c>
      <c r="J8" s="5">
        <f>ROUND(VLOOKUP(A8, Sheet2!$A$2:$D$30, 4, FALSE),1)</f>
        <v>26.2</v>
      </c>
    </row>
    <row r="9" spans="1:10" ht="16" x14ac:dyDescent="0.2">
      <c r="A9" s="2">
        <v>479</v>
      </c>
      <c r="B9" s="7" t="s">
        <v>15</v>
      </c>
      <c r="C9" s="2" t="s">
        <v>7</v>
      </c>
      <c r="D9" s="2" t="str">
        <f t="shared" si="0"/>
        <v>21.8 (25.8–17.8)</v>
      </c>
      <c r="E9" s="4" t="s">
        <v>42</v>
      </c>
      <c r="F9" s="2" t="s">
        <v>8</v>
      </c>
      <c r="G9" s="4" t="s">
        <v>7</v>
      </c>
      <c r="H9" s="5">
        <f>ROUND(VLOOKUP(A9, Sheet2!$A$2:$D$30, 2, FALSE),1)</f>
        <v>21.8</v>
      </c>
      <c r="I9" s="5">
        <f>ROUND(VLOOKUP(A9, Sheet2!$A$2:$D$30, 3, FALSE),1)</f>
        <v>17.8</v>
      </c>
      <c r="J9" s="5">
        <f>ROUND(VLOOKUP(A9, Sheet2!$A$2:$D$30, 4, FALSE),1)</f>
        <v>25.8</v>
      </c>
    </row>
    <row r="10" spans="1:10" ht="32" x14ac:dyDescent="0.2">
      <c r="A10" s="2">
        <v>465</v>
      </c>
      <c r="B10" s="7" t="s">
        <v>16</v>
      </c>
      <c r="C10" s="2" t="s">
        <v>7</v>
      </c>
      <c r="D10" s="2" t="str">
        <f t="shared" si="0"/>
        <v>16.5 (21.7–11.6)</v>
      </c>
      <c r="E10" s="4" t="s">
        <v>43</v>
      </c>
      <c r="F10" s="2" t="s">
        <v>8</v>
      </c>
      <c r="G10" s="4" t="s">
        <v>7</v>
      </c>
      <c r="H10" s="5">
        <f>ROUND(VLOOKUP(A10, Sheet2!$A$2:$D$30, 2, FALSE),1)</f>
        <v>16.5</v>
      </c>
      <c r="I10" s="5">
        <f>ROUND(VLOOKUP(A10, Sheet2!$A$2:$D$30, 3, FALSE),1)</f>
        <v>11.6</v>
      </c>
      <c r="J10" s="5">
        <f>ROUND(VLOOKUP(A10, Sheet2!$A$2:$D$30, 4, FALSE),1)</f>
        <v>21.7</v>
      </c>
    </row>
    <row r="11" spans="1:10" ht="32" x14ac:dyDescent="0.2">
      <c r="A11" s="2">
        <v>458</v>
      </c>
      <c r="B11" s="7" t="s">
        <v>17</v>
      </c>
      <c r="C11" s="2" t="s">
        <v>7</v>
      </c>
      <c r="D11" s="2" t="str">
        <f t="shared" si="0"/>
        <v>12.2 (17.2–7.4)</v>
      </c>
      <c r="E11" s="4" t="s">
        <v>39</v>
      </c>
      <c r="F11" s="2" t="s">
        <v>8</v>
      </c>
      <c r="G11" s="4" t="s">
        <v>7</v>
      </c>
      <c r="H11" s="5">
        <f>ROUND(VLOOKUP(A11, Sheet2!$A$2:$D$30, 2, FALSE),1)</f>
        <v>12.2</v>
      </c>
      <c r="I11" s="5">
        <f>ROUND(VLOOKUP(A11, Sheet2!$A$2:$D$30, 3, FALSE),1)</f>
        <v>7.4</v>
      </c>
      <c r="J11" s="5">
        <f>ROUND(VLOOKUP(A11, Sheet2!$A$2:$D$30, 4, FALSE),1)</f>
        <v>17.2</v>
      </c>
    </row>
    <row r="12" spans="1:10" ht="32" x14ac:dyDescent="0.2">
      <c r="A12" s="2">
        <v>430</v>
      </c>
      <c r="B12" s="7" t="s">
        <v>18</v>
      </c>
      <c r="C12" s="2" t="s">
        <v>7</v>
      </c>
      <c r="D12" s="2" t="str">
        <f t="shared" si="0"/>
        <v>25.1 (28.6–21.8)</v>
      </c>
      <c r="E12" s="4" t="s">
        <v>40</v>
      </c>
      <c r="F12" s="2" t="s">
        <v>8</v>
      </c>
      <c r="G12" s="4" t="s">
        <v>7</v>
      </c>
      <c r="H12" s="5">
        <f>ROUND(VLOOKUP(A12, Sheet2!$A$2:$D$30, 2, FALSE),1)</f>
        <v>25.1</v>
      </c>
      <c r="I12" s="5">
        <f>ROUND(VLOOKUP(A12, Sheet2!$A$2:$D$30, 3, FALSE),1)</f>
        <v>21.8</v>
      </c>
      <c r="J12" s="5">
        <f>ROUND(VLOOKUP(A12, Sheet2!$A$2:$D$30, 4, FALSE),1)</f>
        <v>28.6</v>
      </c>
    </row>
    <row r="13" spans="1:10" ht="16" x14ac:dyDescent="0.2">
      <c r="A13" s="2">
        <v>424</v>
      </c>
      <c r="B13" s="7" t="s">
        <v>19</v>
      </c>
      <c r="C13" s="2" t="s">
        <v>7</v>
      </c>
      <c r="D13" s="2" t="str">
        <f t="shared" si="0"/>
        <v>22.9 (27.3–18.3)</v>
      </c>
      <c r="E13" s="4" t="s">
        <v>42</v>
      </c>
      <c r="F13" s="2" t="s">
        <v>8</v>
      </c>
      <c r="G13" s="4" t="s">
        <v>7</v>
      </c>
      <c r="H13" s="5">
        <f>ROUND(VLOOKUP(A13, Sheet2!$A$2:$D$30, 2, FALSE),1)</f>
        <v>22.9</v>
      </c>
      <c r="I13" s="5">
        <f>ROUND(VLOOKUP(A13, Sheet2!$A$2:$D$30, 3, FALSE),1)</f>
        <v>18.3</v>
      </c>
      <c r="J13" s="5">
        <f>ROUND(VLOOKUP(A13, Sheet2!$A$2:$D$30, 4, FALSE),1)</f>
        <v>27.3</v>
      </c>
    </row>
    <row r="14" spans="1:10" ht="32" x14ac:dyDescent="0.2">
      <c r="A14" s="2">
        <v>415</v>
      </c>
      <c r="B14" s="7" t="s">
        <v>20</v>
      </c>
      <c r="C14" s="2" t="s">
        <v>7</v>
      </c>
      <c r="D14" s="2" t="str">
        <f t="shared" si="0"/>
        <v>19.2 (23.4–15)</v>
      </c>
      <c r="E14" s="4" t="s">
        <v>43</v>
      </c>
      <c r="F14" s="2" t="s">
        <v>8</v>
      </c>
      <c r="G14" s="4" t="s">
        <v>7</v>
      </c>
      <c r="H14" s="5">
        <f>ROUND(VLOOKUP(A14, Sheet2!$A$2:$D$30, 2, FALSE),1)</f>
        <v>19.2</v>
      </c>
      <c r="I14" s="5">
        <f>ROUND(VLOOKUP(A14, Sheet2!$A$2:$D$30, 3, FALSE),1)</f>
        <v>15</v>
      </c>
      <c r="J14" s="5">
        <f>ROUND(VLOOKUP(A14, Sheet2!$A$2:$D$30, 4, FALSE),1)</f>
        <v>23.4</v>
      </c>
    </row>
    <row r="15" spans="1:10" ht="16" x14ac:dyDescent="0.2">
      <c r="A15" s="2">
        <v>382</v>
      </c>
      <c r="B15" s="7" t="s">
        <v>21</v>
      </c>
      <c r="C15" s="2" t="s">
        <v>7</v>
      </c>
      <c r="D15" s="2" t="str">
        <f t="shared" si="0"/>
        <v>21.5 (24.6–18.4)</v>
      </c>
      <c r="E15" s="4" t="s">
        <v>42</v>
      </c>
      <c r="F15" s="2" t="s">
        <v>8</v>
      </c>
      <c r="G15" s="4" t="s">
        <v>7</v>
      </c>
      <c r="H15" s="5">
        <f>ROUND(VLOOKUP(A15, Sheet2!$A$2:$D$30, 2, FALSE),1)</f>
        <v>21.5</v>
      </c>
      <c r="I15" s="5">
        <f>ROUND(VLOOKUP(A15, Sheet2!$A$2:$D$30, 3, FALSE),1)</f>
        <v>18.399999999999999</v>
      </c>
      <c r="J15" s="5">
        <f>ROUND(VLOOKUP(A15, Sheet2!$A$2:$D$30, 4, FALSE),1)</f>
        <v>24.6</v>
      </c>
    </row>
    <row r="16" spans="1:10" ht="16" x14ac:dyDescent="0.2">
      <c r="A16" s="2">
        <v>274</v>
      </c>
      <c r="B16" s="7" t="s">
        <v>22</v>
      </c>
      <c r="C16" s="2" t="s">
        <v>7</v>
      </c>
      <c r="D16" s="2" t="str">
        <f t="shared" si="0"/>
        <v>24.8 (27.7–22)</v>
      </c>
      <c r="E16" s="4" t="s">
        <v>44</v>
      </c>
      <c r="F16" s="2" t="s">
        <v>8</v>
      </c>
      <c r="G16" s="4" t="s">
        <v>7</v>
      </c>
      <c r="H16" s="5">
        <f>ROUND(VLOOKUP(A16, Sheet2!$A$2:$D$30, 2, FALSE),1)</f>
        <v>24.8</v>
      </c>
      <c r="I16" s="5">
        <f>ROUND(VLOOKUP(A16, Sheet2!$A$2:$D$30, 3, FALSE),1)</f>
        <v>22</v>
      </c>
      <c r="J16" s="5">
        <f>ROUND(VLOOKUP(A16, Sheet2!$A$2:$D$30, 4, FALSE),1)</f>
        <v>27.7</v>
      </c>
    </row>
    <row r="17" spans="1:10" ht="32" x14ac:dyDescent="0.2">
      <c r="A17" s="2">
        <v>501</v>
      </c>
      <c r="B17" s="7" t="s">
        <v>23</v>
      </c>
      <c r="C17" s="2" t="s">
        <v>53</v>
      </c>
      <c r="D17" s="2" t="str">
        <f t="shared" si="0"/>
        <v>12.3 (16–8.7)</v>
      </c>
      <c r="E17" s="4" t="s">
        <v>45</v>
      </c>
      <c r="F17" s="2" t="s">
        <v>11</v>
      </c>
      <c r="G17" s="4" t="s">
        <v>63</v>
      </c>
      <c r="H17" s="5">
        <f>ROUND(VLOOKUP(A17, Sheet2!$A$2:$D$30, 2, FALSE),1)</f>
        <v>12.3</v>
      </c>
      <c r="I17" s="5">
        <f>ROUND(VLOOKUP(A17, Sheet2!$A$2:$D$30, 3, FALSE),1)</f>
        <v>8.6999999999999993</v>
      </c>
      <c r="J17" s="5">
        <f>ROUND(VLOOKUP(A17, Sheet2!$A$2:$D$30, 4, FALSE),1)</f>
        <v>16</v>
      </c>
    </row>
    <row r="18" spans="1:10" ht="32" x14ac:dyDescent="0.2">
      <c r="A18" s="2">
        <v>378</v>
      </c>
      <c r="B18" s="7" t="s">
        <v>25</v>
      </c>
      <c r="C18" s="2" t="s">
        <v>53</v>
      </c>
      <c r="D18" s="2" t="str">
        <f t="shared" si="0"/>
        <v>11.6 (15.9–7.5)</v>
      </c>
      <c r="E18" s="4" t="s">
        <v>34</v>
      </c>
      <c r="F18" s="2" t="s">
        <v>11</v>
      </c>
      <c r="G18" s="4" t="s">
        <v>63</v>
      </c>
      <c r="H18" s="5">
        <f>ROUND(VLOOKUP(A18, Sheet2!$A$2:$D$30, 2, FALSE),1)</f>
        <v>11.6</v>
      </c>
      <c r="I18" s="5">
        <f>ROUND(VLOOKUP(A18, Sheet2!$A$2:$D$30, 3, FALSE),1)</f>
        <v>7.5</v>
      </c>
      <c r="J18" s="5">
        <f>ROUND(VLOOKUP(A18, Sheet2!$A$2:$D$30, 4, FALSE),1)</f>
        <v>15.9</v>
      </c>
    </row>
    <row r="19" spans="1:10" ht="32" x14ac:dyDescent="0.2">
      <c r="A19" s="2">
        <v>416</v>
      </c>
      <c r="B19" s="8" t="s">
        <v>68</v>
      </c>
      <c r="C19" s="2" t="s">
        <v>53</v>
      </c>
      <c r="D19" s="2" t="str">
        <f t="shared" si="0"/>
        <v>17.1 (21.1–13.1)</v>
      </c>
      <c r="E19" s="4" t="s">
        <v>43</v>
      </c>
      <c r="F19" s="2" t="s">
        <v>24</v>
      </c>
      <c r="G19" s="4" t="s">
        <v>63</v>
      </c>
      <c r="H19" s="5">
        <f>ROUND(VLOOKUP(A19, Sheet2!$A$2:$D$30, 2, FALSE),1)</f>
        <v>17.100000000000001</v>
      </c>
      <c r="I19" s="5">
        <f>ROUND(VLOOKUP(A19, Sheet2!$A$2:$D$30, 3, FALSE),1)</f>
        <v>13.1</v>
      </c>
      <c r="J19" s="5">
        <f>ROUND(VLOOKUP(A19, Sheet2!$A$2:$D$30, 4, FALSE),1)</f>
        <v>21.1</v>
      </c>
    </row>
    <row r="20" spans="1:10" ht="64" x14ac:dyDescent="0.2">
      <c r="A20" s="2">
        <v>300</v>
      </c>
      <c r="B20" s="7" t="s">
        <v>49</v>
      </c>
      <c r="C20" s="4" t="s">
        <v>54</v>
      </c>
      <c r="D20" s="2" t="s">
        <v>50</v>
      </c>
      <c r="E20" s="4" t="s">
        <v>51</v>
      </c>
      <c r="F20" s="2" t="s">
        <v>11</v>
      </c>
      <c r="G20" s="4" t="s">
        <v>78</v>
      </c>
      <c r="H20" s="5"/>
      <c r="I20" s="5"/>
      <c r="J20" s="5"/>
    </row>
    <row r="21" spans="1:10" ht="32" x14ac:dyDescent="0.2">
      <c r="A21" s="2">
        <v>439</v>
      </c>
      <c r="B21" s="8" t="s">
        <v>69</v>
      </c>
      <c r="C21" s="2" t="s">
        <v>53</v>
      </c>
      <c r="D21" s="2" t="str">
        <f t="shared" si="0"/>
        <v>11.9 (14.6–9.4)</v>
      </c>
      <c r="E21" s="4" t="s">
        <v>47</v>
      </c>
      <c r="F21" s="2" t="s">
        <v>24</v>
      </c>
      <c r="G21" s="4" t="s">
        <v>63</v>
      </c>
      <c r="H21" s="5">
        <f>ROUND(VLOOKUP(A21, Sheet2!$A$2:$D$30, 2, FALSE),1)</f>
        <v>11.9</v>
      </c>
      <c r="I21" s="5">
        <f>ROUND(VLOOKUP(A21, Sheet2!$A$2:$D$30, 3, FALSE),1)</f>
        <v>9.4</v>
      </c>
      <c r="J21" s="5">
        <f>ROUND(VLOOKUP(A21, Sheet2!$A$2:$D$30, 4, FALSE),1)</f>
        <v>14.6</v>
      </c>
    </row>
    <row r="22" spans="1:10" ht="32" x14ac:dyDescent="0.2">
      <c r="A22" s="2">
        <v>316</v>
      </c>
      <c r="B22" s="8" t="s">
        <v>70</v>
      </c>
      <c r="C22" s="2" t="s">
        <v>53</v>
      </c>
      <c r="D22" s="2" t="str">
        <f t="shared" si="0"/>
        <v>19 (21.2–16.6)</v>
      </c>
      <c r="E22" s="4" t="s">
        <v>36</v>
      </c>
      <c r="F22" s="2" t="s">
        <v>24</v>
      </c>
      <c r="G22" s="4" t="s">
        <v>63</v>
      </c>
      <c r="H22" s="5">
        <f>ROUND(VLOOKUP(A22, Sheet2!$A$2:$D$30, 2, FALSE),1)</f>
        <v>19</v>
      </c>
      <c r="I22" s="5">
        <f>ROUND(VLOOKUP(A22, Sheet2!$A$2:$D$30, 3, FALSE),1)</f>
        <v>16.600000000000001</v>
      </c>
      <c r="J22" s="5">
        <f>ROUND(VLOOKUP(A22, Sheet2!$A$2:$D$30, 4, FALSE),1)</f>
        <v>21.2</v>
      </c>
    </row>
    <row r="23" spans="1:10" ht="32" x14ac:dyDescent="0.2">
      <c r="A23" s="2">
        <v>324</v>
      </c>
      <c r="B23" s="8" t="s">
        <v>71</v>
      </c>
      <c r="C23" s="2" t="s">
        <v>55</v>
      </c>
      <c r="D23" s="2" t="str">
        <f>H23&amp;" ("&amp;J23&amp;"–"&amp;I23&amp;")"</f>
        <v>10.3 (12.8–7.8)</v>
      </c>
      <c r="E23" s="4" t="s">
        <v>46</v>
      </c>
      <c r="F23" s="2" t="s">
        <v>11</v>
      </c>
      <c r="G23" s="4" t="s">
        <v>64</v>
      </c>
      <c r="H23" s="5">
        <f>ROUND(VLOOKUP(A23, Sheet2!$A$2:$D$30, 2, FALSE),1)</f>
        <v>10.3</v>
      </c>
      <c r="I23" s="5">
        <f>ROUND(VLOOKUP(A23, Sheet2!$A$2:$D$30, 3, FALSE),1)</f>
        <v>7.8</v>
      </c>
      <c r="J23" s="5">
        <f>ROUND(VLOOKUP(A23, Sheet2!$A$2:$D$30, 4, FALSE),1)</f>
        <v>12.8</v>
      </c>
    </row>
    <row r="24" spans="1:10" ht="32" x14ac:dyDescent="0.2">
      <c r="A24" s="2">
        <v>294</v>
      </c>
      <c r="B24" s="7" t="s">
        <v>26</v>
      </c>
      <c r="C24" s="2" t="s">
        <v>56</v>
      </c>
      <c r="D24" s="2" t="str">
        <f>H24&amp;" ("&amp;J24&amp;"–"&amp;I24&amp;")"</f>
        <v>12.4 (16.3–8.4)</v>
      </c>
      <c r="E24" s="4" t="s">
        <v>39</v>
      </c>
      <c r="F24" s="2" t="s">
        <v>24</v>
      </c>
      <c r="G24" s="4" t="s">
        <v>65</v>
      </c>
      <c r="H24" s="5">
        <f>ROUND(VLOOKUP(A24, Sheet2!$A$2:$D$30, 2, FALSE),1)</f>
        <v>12.4</v>
      </c>
      <c r="I24" s="5">
        <f>ROUND(VLOOKUP(A24, Sheet2!$A$2:$D$30, 3, FALSE),1)</f>
        <v>8.4</v>
      </c>
      <c r="J24" s="5">
        <f>ROUND(VLOOKUP(A24, Sheet2!$A$2:$D$30, 4, FALSE),1)</f>
        <v>16.3</v>
      </c>
    </row>
    <row r="25" spans="1:10" ht="16" x14ac:dyDescent="0.2">
      <c r="A25" s="2">
        <v>312</v>
      </c>
      <c r="B25" s="7" t="s">
        <v>27</v>
      </c>
      <c r="C25" s="2" t="s">
        <v>57</v>
      </c>
      <c r="D25" s="2" t="str">
        <f>H25&amp;" ("&amp;J25&amp;"–"&amp;I25&amp;")"</f>
        <v>11.3 (15.2–7.5)</v>
      </c>
      <c r="E25" s="4" t="s">
        <v>46</v>
      </c>
      <c r="F25" s="2" t="s">
        <v>24</v>
      </c>
      <c r="G25" s="4" t="s">
        <v>65</v>
      </c>
      <c r="H25" s="5">
        <f>ROUND(VLOOKUP(A25, Sheet2!$A$2:$D$30, 2, FALSE),1)</f>
        <v>11.3</v>
      </c>
      <c r="I25" s="5">
        <f>ROUND(VLOOKUP(A25, Sheet2!$A$2:$D$30, 3, FALSE),1)</f>
        <v>7.5</v>
      </c>
      <c r="J25" s="5">
        <f>ROUND(VLOOKUP(A25, Sheet2!$A$2:$D$30, 4, FALSE),1)</f>
        <v>15.2</v>
      </c>
    </row>
    <row r="26" spans="1:10" ht="16" x14ac:dyDescent="0.2">
      <c r="A26" s="2">
        <v>382</v>
      </c>
      <c r="B26" s="9" t="s">
        <v>72</v>
      </c>
      <c r="C26" s="2" t="s">
        <v>56</v>
      </c>
      <c r="D26" s="2" t="str">
        <f>H26&amp;" ("&amp;J26&amp;"–"&amp;I26&amp;")"</f>
        <v>21.5 (24.6–18.4)</v>
      </c>
      <c r="E26" s="4" t="s">
        <v>42</v>
      </c>
      <c r="F26" s="2" t="s">
        <v>24</v>
      </c>
      <c r="G26" s="4" t="s">
        <v>65</v>
      </c>
      <c r="H26" s="5">
        <f>ROUND(VLOOKUP(A26, Sheet2!$A$2:$D$30, 2, FALSE),1)</f>
        <v>21.5</v>
      </c>
      <c r="I26" s="5">
        <f>ROUND(VLOOKUP(A26, Sheet2!$A$2:$D$30, 3, FALSE),1)</f>
        <v>18.399999999999999</v>
      </c>
      <c r="J26" s="5">
        <f>ROUND(VLOOKUP(A26, Sheet2!$A$2:$D$30, 4, FALSE),1)</f>
        <v>24.6</v>
      </c>
    </row>
    <row r="27" spans="1:10" ht="32" x14ac:dyDescent="0.2">
      <c r="A27" s="2">
        <v>383</v>
      </c>
      <c r="B27" s="8" t="s">
        <v>73</v>
      </c>
      <c r="C27" s="2" t="s">
        <v>58</v>
      </c>
      <c r="D27" s="2" t="str">
        <f t="shared" ref="D27:D32" si="1">H27&amp;" ("&amp;J27&amp;"–"&amp;I27&amp;")"</f>
        <v>18 (21–14.9)</v>
      </c>
      <c r="E27" s="4" t="s">
        <v>43</v>
      </c>
      <c r="F27" s="2" t="s">
        <v>24</v>
      </c>
      <c r="G27" s="4" t="s">
        <v>64</v>
      </c>
      <c r="H27" s="5">
        <f>ROUND(VLOOKUP(A27, Sheet2!$A$2:$D$30, 2, FALSE),1)</f>
        <v>18</v>
      </c>
      <c r="I27" s="5">
        <f>ROUND(VLOOKUP(A27, Sheet2!$A$2:$D$30, 3, FALSE),1)</f>
        <v>14.9</v>
      </c>
      <c r="J27" s="5">
        <f>ROUND(VLOOKUP(A27, Sheet2!$A$2:$D$30, 4, FALSE),1)</f>
        <v>21</v>
      </c>
    </row>
    <row r="28" spans="1:10" ht="32" x14ac:dyDescent="0.2">
      <c r="A28" s="2">
        <v>412</v>
      </c>
      <c r="B28" s="10" t="s">
        <v>74</v>
      </c>
      <c r="C28" s="2" t="s">
        <v>59</v>
      </c>
      <c r="D28" s="2" t="str">
        <f t="shared" si="1"/>
        <v>14.3 (18.7–10.1)</v>
      </c>
      <c r="E28" s="4" t="s">
        <v>39</v>
      </c>
      <c r="F28" s="2" t="s">
        <v>24</v>
      </c>
      <c r="G28" s="4" t="s">
        <v>65</v>
      </c>
      <c r="H28" s="5">
        <f>ROUND(VLOOKUP(A28, Sheet2!$A$2:$D$30, 2, FALSE),1)</f>
        <v>14.3</v>
      </c>
      <c r="I28" s="5">
        <f>ROUND(VLOOKUP(A28, Sheet2!$A$2:$D$30, 3, FALSE),1)</f>
        <v>10.1</v>
      </c>
      <c r="J28" s="5">
        <f>ROUND(VLOOKUP(A28, Sheet2!$A$2:$D$30, 4, FALSE),1)</f>
        <v>18.7</v>
      </c>
    </row>
    <row r="29" spans="1:10" ht="32" x14ac:dyDescent="0.2">
      <c r="A29" s="2">
        <v>401</v>
      </c>
      <c r="B29" s="7" t="s">
        <v>28</v>
      </c>
      <c r="C29" s="2" t="s">
        <v>58</v>
      </c>
      <c r="D29" s="2" t="str">
        <f t="shared" si="1"/>
        <v>13.9 (17.2–10.4)</v>
      </c>
      <c r="E29" s="4" t="s">
        <v>39</v>
      </c>
      <c r="F29" s="2" t="s">
        <v>24</v>
      </c>
      <c r="G29" s="4" t="s">
        <v>64</v>
      </c>
      <c r="H29" s="5">
        <f>ROUND(VLOOKUP(A29, Sheet2!$A$2:$D$30, 2, FALSE),1)</f>
        <v>13.9</v>
      </c>
      <c r="I29" s="5">
        <f>ROUND(VLOOKUP(A29, Sheet2!$A$2:$D$30, 3, FALSE),1)</f>
        <v>10.4</v>
      </c>
      <c r="J29" s="5">
        <f>ROUND(VLOOKUP(A29, Sheet2!$A$2:$D$30, 4, FALSE),1)</f>
        <v>17.2</v>
      </c>
    </row>
    <row r="30" spans="1:10" ht="32" x14ac:dyDescent="0.2">
      <c r="A30" s="2">
        <v>384</v>
      </c>
      <c r="B30" s="8" t="s">
        <v>75</v>
      </c>
      <c r="C30" s="2" t="s">
        <v>62</v>
      </c>
      <c r="D30" s="2" t="str">
        <f t="shared" si="1"/>
        <v>16.3 (19.1–13.5)</v>
      </c>
      <c r="E30" s="4" t="s">
        <v>43</v>
      </c>
      <c r="F30" s="2" t="s">
        <v>24</v>
      </c>
      <c r="G30" s="4" t="s">
        <v>64</v>
      </c>
      <c r="H30" s="5">
        <f>ROUND(VLOOKUP(A30, Sheet2!$A$2:$D$30, 2, FALSE),1)</f>
        <v>16.3</v>
      </c>
      <c r="I30" s="5">
        <f>ROUND(VLOOKUP(A30, Sheet2!$A$2:$D$30, 3, FALSE),1)</f>
        <v>13.5</v>
      </c>
      <c r="J30" s="5">
        <f>ROUND(VLOOKUP(A30, Sheet2!$A$2:$D$30, 4, FALSE),1)</f>
        <v>19.100000000000001</v>
      </c>
    </row>
    <row r="31" spans="1:10" ht="48" x14ac:dyDescent="0.2">
      <c r="A31" s="2">
        <v>396</v>
      </c>
      <c r="B31" s="8" t="s">
        <v>76</v>
      </c>
      <c r="C31" s="2" t="s">
        <v>60</v>
      </c>
      <c r="D31" s="2" t="str">
        <f t="shared" si="1"/>
        <v>15.4 (18.4–12.4)</v>
      </c>
      <c r="E31" s="4" t="s">
        <v>48</v>
      </c>
      <c r="F31" s="2" t="s">
        <v>24</v>
      </c>
      <c r="G31" s="4" t="s">
        <v>77</v>
      </c>
      <c r="H31" s="5">
        <f>ROUND(VLOOKUP(A31, Sheet2!$A$2:$D$30, 2, FALSE),1)</f>
        <v>15.4</v>
      </c>
      <c r="I31" s="5">
        <f>ROUND(VLOOKUP(A31, Sheet2!$A$2:$D$30, 3, FALSE),1)</f>
        <v>12.4</v>
      </c>
      <c r="J31" s="5">
        <f>ROUND(VLOOKUP(A31, Sheet2!$A$2:$D$30, 4, FALSE),1)</f>
        <v>18.399999999999999</v>
      </c>
    </row>
    <row r="32" spans="1:10" ht="48" x14ac:dyDescent="0.2">
      <c r="A32" s="2">
        <v>397</v>
      </c>
      <c r="B32" s="7" t="s">
        <v>29</v>
      </c>
      <c r="C32" s="4" t="s">
        <v>61</v>
      </c>
      <c r="D32" s="2" t="str">
        <f t="shared" si="1"/>
        <v>14.2 (17.4–11)</v>
      </c>
      <c r="E32" s="4" t="s">
        <v>39</v>
      </c>
      <c r="F32" s="2" t="s">
        <v>24</v>
      </c>
      <c r="G32" s="4" t="s">
        <v>79</v>
      </c>
      <c r="H32" s="5">
        <f>ROUND(VLOOKUP(A32, Sheet2!$A$2:$D$30, 2, FALSE),1)</f>
        <v>14.2</v>
      </c>
      <c r="I32" s="5">
        <f>ROUND(VLOOKUP(A32, Sheet2!$A$2:$D$30, 3, FALSE),1)</f>
        <v>11</v>
      </c>
      <c r="J32" s="5">
        <f>ROUND(VLOOKUP(A32, Sheet2!$A$2:$D$30, 4, FALSE),1)</f>
        <v>17.399999999999999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B64B-0086-6149-AC0E-39779BEC6140}">
  <dimension ref="A1:D30"/>
  <sheetViews>
    <sheetView workbookViewId="0">
      <selection activeCell="D30" sqref="D30"/>
    </sheetView>
  </sheetViews>
  <sheetFormatPr baseColWidth="10" defaultRowHeight="16" x14ac:dyDescent="0.2"/>
  <cols>
    <col min="2" max="2" width="13.33203125" bestFit="1" customWidth="1"/>
    <col min="3" max="3" width="21.83203125" bestFit="1" customWidth="1"/>
    <col min="4" max="4" width="22.1640625" bestFit="1" customWidth="1"/>
  </cols>
  <sheetData>
    <row r="1" spans="1:4" x14ac:dyDescent="0.2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">
      <c r="A2">
        <v>267</v>
      </c>
      <c r="B2">
        <v>33.208755915939193</v>
      </c>
      <c r="C2">
        <v>30.22127412931539</v>
      </c>
      <c r="D2">
        <v>36.122056037245137</v>
      </c>
    </row>
    <row r="3" spans="1:4" x14ac:dyDescent="0.2">
      <c r="A3">
        <v>268</v>
      </c>
      <c r="B3">
        <v>30.751946269750078</v>
      </c>
      <c r="C3">
        <v>27.829652314838409</v>
      </c>
      <c r="D3">
        <v>33.609821038088953</v>
      </c>
    </row>
    <row r="4" spans="1:4" x14ac:dyDescent="0.2">
      <c r="A4">
        <v>274</v>
      </c>
      <c r="B4">
        <v>24.81037218981885</v>
      </c>
      <c r="C4">
        <v>22.047871742132511</v>
      </c>
      <c r="D4">
        <v>27.651690590742781</v>
      </c>
    </row>
    <row r="5" spans="1:4" x14ac:dyDescent="0.2">
      <c r="A5">
        <v>294</v>
      </c>
      <c r="B5">
        <v>12.39251888039257</v>
      </c>
      <c r="C5">
        <v>8.4030859237134337</v>
      </c>
      <c r="D5">
        <v>16.342304744813649</v>
      </c>
    </row>
    <row r="6" spans="1:4" x14ac:dyDescent="0.2">
      <c r="A6">
        <v>312</v>
      </c>
      <c r="B6">
        <v>11.254522717715361</v>
      </c>
      <c r="C6">
        <v>7.5264667877892748</v>
      </c>
      <c r="D6">
        <v>15.19239445638047</v>
      </c>
    </row>
    <row r="7" spans="1:4" x14ac:dyDescent="0.2">
      <c r="A7">
        <v>316</v>
      </c>
      <c r="B7">
        <v>18.958324265844141</v>
      </c>
      <c r="C7">
        <v>16.635152254484279</v>
      </c>
      <c r="D7">
        <v>21.241875350377651</v>
      </c>
    </row>
    <row r="8" spans="1:4" x14ac:dyDescent="0.2">
      <c r="A8">
        <v>324</v>
      </c>
      <c r="B8">
        <v>10.32102186273082</v>
      </c>
      <c r="C8">
        <v>7.8354967630386767</v>
      </c>
      <c r="D8">
        <v>12.782490424968019</v>
      </c>
    </row>
    <row r="9" spans="1:4" x14ac:dyDescent="0.2">
      <c r="A9">
        <v>378</v>
      </c>
      <c r="B9">
        <v>11.574036732878399</v>
      </c>
      <c r="C9">
        <v>7.5473218382497151</v>
      </c>
      <c r="D9">
        <v>15.85595268137611</v>
      </c>
    </row>
    <row r="10" spans="1:4" x14ac:dyDescent="0.2">
      <c r="A10">
        <v>382</v>
      </c>
      <c r="B10">
        <v>21.495776909810719</v>
      </c>
      <c r="C10">
        <v>18.417782053354159</v>
      </c>
      <c r="D10">
        <v>24.609459105951739</v>
      </c>
    </row>
    <row r="11" spans="1:4" x14ac:dyDescent="0.2">
      <c r="A11">
        <v>383</v>
      </c>
      <c r="B11">
        <v>18.032699351963831</v>
      </c>
      <c r="C11">
        <v>14.9344175769132</v>
      </c>
      <c r="D11">
        <v>21.041990841229939</v>
      </c>
    </row>
    <row r="12" spans="1:4" x14ac:dyDescent="0.2">
      <c r="A12">
        <v>384</v>
      </c>
      <c r="B12">
        <v>16.314596459955961</v>
      </c>
      <c r="C12">
        <v>13.527060778907749</v>
      </c>
      <c r="D12">
        <v>19.14949100228381</v>
      </c>
    </row>
    <row r="13" spans="1:4" x14ac:dyDescent="0.2">
      <c r="A13">
        <v>396</v>
      </c>
      <c r="B13">
        <v>15.41683601553887</v>
      </c>
      <c r="C13">
        <v>12.429051431936831</v>
      </c>
      <c r="D13">
        <v>18.410284101452081</v>
      </c>
    </row>
    <row r="14" spans="1:4" x14ac:dyDescent="0.2">
      <c r="A14">
        <v>397</v>
      </c>
      <c r="B14">
        <v>14.1542673883914</v>
      </c>
      <c r="C14">
        <v>11.000394197777769</v>
      </c>
      <c r="D14">
        <v>17.35203391939633</v>
      </c>
    </row>
    <row r="15" spans="1:4" x14ac:dyDescent="0.2">
      <c r="A15">
        <v>401</v>
      </c>
      <c r="B15">
        <v>13.850495885591441</v>
      </c>
      <c r="C15">
        <v>10.420155161832881</v>
      </c>
      <c r="D15">
        <v>17.245340554403029</v>
      </c>
    </row>
    <row r="16" spans="1:4" x14ac:dyDescent="0.2">
      <c r="A16">
        <v>412</v>
      </c>
      <c r="B16">
        <v>14.3341788380524</v>
      </c>
      <c r="C16">
        <v>10.114807467365541</v>
      </c>
      <c r="D16">
        <v>18.726055153777441</v>
      </c>
    </row>
    <row r="17" spans="1:4" x14ac:dyDescent="0.2">
      <c r="A17">
        <v>415</v>
      </c>
      <c r="B17">
        <v>19.15401067123117</v>
      </c>
      <c r="C17">
        <v>14.997994725834159</v>
      </c>
      <c r="D17">
        <v>23.352984538349631</v>
      </c>
    </row>
    <row r="18" spans="1:4" x14ac:dyDescent="0.2">
      <c r="A18">
        <v>416</v>
      </c>
      <c r="B18">
        <v>17.09207734469625</v>
      </c>
      <c r="C18">
        <v>13.05985502284852</v>
      </c>
      <c r="D18">
        <v>21.12649073915475</v>
      </c>
    </row>
    <row r="19" spans="1:4" x14ac:dyDescent="0.2">
      <c r="A19">
        <v>424</v>
      </c>
      <c r="B19">
        <v>22.933596918048451</v>
      </c>
      <c r="C19">
        <v>18.259504421770959</v>
      </c>
      <c r="D19">
        <v>27.29962126718296</v>
      </c>
    </row>
    <row r="20" spans="1:4" x14ac:dyDescent="0.2">
      <c r="A20">
        <v>430</v>
      </c>
      <c r="B20">
        <v>25.099201975277818</v>
      </c>
      <c r="C20">
        <v>21.75549046016366</v>
      </c>
      <c r="D20">
        <v>28.60321780872496</v>
      </c>
    </row>
    <row r="21" spans="1:4" x14ac:dyDescent="0.2">
      <c r="A21">
        <v>439</v>
      </c>
      <c r="B21">
        <v>11.867414567094089</v>
      </c>
      <c r="C21">
        <v>9.379489872222166</v>
      </c>
      <c r="D21">
        <v>14.593870098987569</v>
      </c>
    </row>
    <row r="22" spans="1:4" x14ac:dyDescent="0.2">
      <c r="A22">
        <v>458</v>
      </c>
      <c r="B22">
        <v>12.15397064021694</v>
      </c>
      <c r="C22">
        <v>7.363829958857707</v>
      </c>
      <c r="D22">
        <v>17.243852425454069</v>
      </c>
    </row>
    <row r="23" spans="1:4" x14ac:dyDescent="0.2">
      <c r="A23">
        <v>465</v>
      </c>
      <c r="B23">
        <v>16.535122602140419</v>
      </c>
      <c r="C23">
        <v>11.570484225326849</v>
      </c>
      <c r="D23">
        <v>21.662864932930219</v>
      </c>
    </row>
    <row r="24" spans="1:4" x14ac:dyDescent="0.2">
      <c r="A24">
        <v>479</v>
      </c>
      <c r="B24">
        <v>21.79034932967539</v>
      </c>
      <c r="C24">
        <v>17.751165673986112</v>
      </c>
      <c r="D24">
        <v>25.82401985596178</v>
      </c>
    </row>
    <row r="25" spans="1:4" x14ac:dyDescent="0.2">
      <c r="A25">
        <v>500</v>
      </c>
      <c r="B25">
        <v>21.733199192383701</v>
      </c>
      <c r="C25">
        <v>16.845925481112769</v>
      </c>
      <c r="D25">
        <v>26.24313191543142</v>
      </c>
    </row>
    <row r="26" spans="1:4" x14ac:dyDescent="0.2">
      <c r="A26">
        <v>501</v>
      </c>
      <c r="B26">
        <v>12.25170306775496</v>
      </c>
      <c r="C26">
        <v>8.6603303349237137</v>
      </c>
      <c r="D26">
        <v>16.048593238683271</v>
      </c>
    </row>
    <row r="27" spans="1:4" x14ac:dyDescent="0.2">
      <c r="A27">
        <v>507</v>
      </c>
      <c r="B27">
        <v>23.046765718012459</v>
      </c>
      <c r="C27">
        <v>18.436677501243071</v>
      </c>
      <c r="D27">
        <v>28.204944197332591</v>
      </c>
    </row>
    <row r="28" spans="1:4" x14ac:dyDescent="0.2">
      <c r="A28">
        <v>520</v>
      </c>
      <c r="B28">
        <v>25.700816565574868</v>
      </c>
      <c r="C28">
        <v>20.551665480128388</v>
      </c>
      <c r="D28">
        <v>30.386901493851681</v>
      </c>
    </row>
    <row r="29" spans="1:4" x14ac:dyDescent="0.2">
      <c r="A29">
        <v>523</v>
      </c>
      <c r="B29">
        <v>21.668533506372931</v>
      </c>
      <c r="C29">
        <v>15.46643083856114</v>
      </c>
      <c r="D29">
        <v>28.129046333302981</v>
      </c>
    </row>
    <row r="30" spans="1:4" x14ac:dyDescent="0.2">
      <c r="A30">
        <v>531</v>
      </c>
      <c r="B30">
        <v>12.646488555831279</v>
      </c>
      <c r="C30">
        <v>5.9524187106602682</v>
      </c>
      <c r="D30">
        <v>19.751941670392181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Gaem, Paulo Henrique</dc:creator>
  <cp:lastModifiedBy>Gaem, Paulo Henrique</cp:lastModifiedBy>
  <dcterms:created xsi:type="dcterms:W3CDTF">2025-09-26T00:38:29Z</dcterms:created>
  <dcterms:modified xsi:type="dcterms:W3CDTF">2025-10-14T16:01:41Z</dcterms:modified>
</cp:coreProperties>
</file>